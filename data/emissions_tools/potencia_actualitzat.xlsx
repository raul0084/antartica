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nasa\Documents\uni\TFG\25032026_MCD\25032026_MCD\"/>
    </mc:Choice>
  </mc:AlternateContent>
  <xr:revisionPtr revIDLastSave="0" documentId="13_ncr:1_{AD39990D-1F5D-4E28-9477-815D786FE34D}" xr6:coauthVersionLast="47" xr6:coauthVersionMax="47" xr10:uidLastSave="{00000000-0000-0000-0000-000000000000}"/>
  <bookViews>
    <workbookView xWindow="11700" yWindow="5280" windowWidth="7500" windowHeight="6000" xr2:uid="{4E8B4673-912A-4CDA-BC79-4F9518CCDFF6}"/>
  </bookViews>
  <sheets>
    <sheet name="Potència" sheetId="3" r:id="rId1"/>
  </sheets>
  <definedNames>
    <definedName name="_xlnm._FilterDatabase" localSheetId="0" hidden="1">Potència!$B$1:$B$966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3" i="3" l="1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07" i="3"/>
  <c r="E308" i="3"/>
  <c r="E309" i="3"/>
  <c r="E310" i="3"/>
  <c r="E311" i="3"/>
  <c r="E312" i="3"/>
  <c r="E313" i="3"/>
  <c r="E314" i="3"/>
  <c r="E315" i="3"/>
  <c r="E306" i="3"/>
  <c r="E293" i="3"/>
  <c r="E292" i="3"/>
  <c r="E289" i="3"/>
  <c r="E288" i="3"/>
  <c r="E285" i="3"/>
  <c r="E283" i="3"/>
  <c r="E280" i="3"/>
  <c r="E279" i="3"/>
  <c r="E276" i="3"/>
  <c r="E274" i="3"/>
  <c r="E272" i="3"/>
  <c r="E271" i="3"/>
  <c r="E262" i="3"/>
  <c r="E261" i="3"/>
  <c r="E259" i="3"/>
  <c r="E256" i="3"/>
  <c r="E254" i="3"/>
  <c r="E253" i="3"/>
  <c r="E251" i="3"/>
  <c r="E246" i="3"/>
  <c r="E242" i="3"/>
  <c r="E241" i="3"/>
  <c r="E233" i="3"/>
  <c r="E232" i="3"/>
  <c r="E230" i="3"/>
  <c r="E226" i="3"/>
  <c r="E225" i="3"/>
  <c r="E224" i="3"/>
  <c r="E222" i="3"/>
  <c r="E219" i="3"/>
  <c r="E214" i="3"/>
  <c r="E211" i="3"/>
  <c r="E210" i="3"/>
  <c r="E206" i="3"/>
  <c r="E198" i="3"/>
  <c r="E196" i="3"/>
  <c r="E86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7" i="3"/>
  <c r="E68" i="3"/>
  <c r="E69" i="3"/>
  <c r="E70" i="3"/>
  <c r="E71" i="3"/>
  <c r="E72" i="3"/>
  <c r="E73" i="3"/>
  <c r="E74" i="3"/>
  <c r="E75" i="3"/>
  <c r="E76" i="3"/>
  <c r="E77" i="3"/>
  <c r="E79" i="3"/>
  <c r="E80" i="3"/>
  <c r="E81" i="3"/>
  <c r="E82" i="3"/>
  <c r="E83" i="3"/>
  <c r="E84" i="3"/>
  <c r="E85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8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7" i="3"/>
  <c r="E42" i="3"/>
  <c r="E43" i="3"/>
  <c r="E41" i="3"/>
  <c r="E34" i="3"/>
  <c r="E33" i="3"/>
  <c r="E31" i="3"/>
  <c r="E25" i="3"/>
  <c r="E24" i="3"/>
  <c r="E22" i="3"/>
  <c r="E21" i="3"/>
  <c r="E19" i="3"/>
  <c r="E17" i="3"/>
  <c r="E16" i="3"/>
  <c r="E14" i="3"/>
  <c r="E13" i="3"/>
  <c r="E12" i="3"/>
  <c r="E9" i="3"/>
  <c r="E38" i="3"/>
  <c r="E3" i="3"/>
  <c r="E4" i="3"/>
  <c r="E2" i="3"/>
  <c r="D78" i="3"/>
  <c r="E78" i="3" s="1"/>
  <c r="E5" i="3"/>
  <c r="E304" i="3"/>
  <c r="E303" i="3"/>
  <c r="E301" i="3"/>
  <c r="E299" i="3"/>
  <c r="E298" i="3"/>
  <c r="E297" i="3"/>
  <c r="E296" i="3"/>
  <c r="E295" i="3"/>
  <c r="E294" i="3"/>
  <c r="E291" i="3"/>
  <c r="E290" i="3"/>
  <c r="E287" i="3"/>
  <c r="E286" i="3"/>
  <c r="E284" i="3"/>
  <c r="E282" i="3"/>
  <c r="E281" i="3"/>
  <c r="E278" i="3"/>
  <c r="E277" i="3"/>
  <c r="E275" i="3"/>
  <c r="E273" i="3"/>
  <c r="E270" i="3"/>
  <c r="E269" i="3"/>
  <c r="E268" i="3"/>
  <c r="E267" i="3"/>
  <c r="E266" i="3"/>
  <c r="E265" i="3"/>
  <c r="E264" i="3"/>
  <c r="E263" i="3"/>
  <c r="E260" i="3"/>
  <c r="E258" i="3"/>
  <c r="E257" i="3"/>
  <c r="E255" i="3"/>
  <c r="E252" i="3"/>
  <c r="E250" i="3"/>
  <c r="E249" i="3"/>
  <c r="E248" i="3"/>
  <c r="E247" i="3"/>
  <c r="E245" i="3"/>
  <c r="E244" i="3"/>
  <c r="E243" i="3"/>
  <c r="E240" i="3"/>
  <c r="E239" i="3"/>
  <c r="E238" i="3"/>
  <c r="E237" i="3"/>
  <c r="E236" i="3"/>
  <c r="E235" i="3"/>
  <c r="E234" i="3"/>
  <c r="E231" i="3"/>
  <c r="E229" i="3"/>
  <c r="E228" i="3"/>
  <c r="E227" i="3"/>
  <c r="E223" i="3"/>
  <c r="E221" i="3"/>
  <c r="E220" i="3"/>
  <c r="E218" i="3"/>
  <c r="E217" i="3"/>
  <c r="E216" i="3"/>
  <c r="E215" i="3"/>
  <c r="E213" i="3"/>
  <c r="E212" i="3"/>
  <c r="E209" i="3"/>
  <c r="E208" i="3"/>
  <c r="E207" i="3"/>
  <c r="E205" i="3"/>
  <c r="E204" i="3"/>
  <c r="E203" i="3"/>
  <c r="E201" i="3"/>
  <c r="E200" i="3"/>
  <c r="E199" i="3"/>
  <c r="E40" i="3"/>
  <c r="E37" i="3"/>
  <c r="E36" i="3"/>
  <c r="E35" i="3"/>
  <c r="E32" i="3"/>
  <c r="E30" i="3"/>
  <c r="E29" i="3"/>
  <c r="E27" i="3"/>
  <c r="E26" i="3"/>
  <c r="E23" i="3"/>
  <c r="E20" i="3"/>
  <c r="E18" i="3"/>
  <c r="E15" i="3"/>
  <c r="E11" i="3"/>
  <c r="E10" i="3"/>
  <c r="E8" i="3"/>
  <c r="E7" i="3"/>
  <c r="E6" i="3"/>
  <c r="E39" i="3"/>
  <c r="E28" i="3"/>
  <c r="D305" i="3" l="1"/>
  <c r="E305" i="3" s="1"/>
  <c r="D302" i="3"/>
  <c r="E302" i="3" s="1"/>
  <c r="D300" i="3"/>
  <c r="E300" i="3" s="1"/>
  <c r="D202" i="3"/>
  <c r="E202" i="3" s="1"/>
  <c r="D139" i="3"/>
  <c r="E139" i="3" s="1"/>
  <c r="D137" i="3"/>
  <c r="E137" i="3" s="1"/>
  <c r="D66" i="3"/>
  <c r="E6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Seoane</author>
  </authors>
  <commentList>
    <comment ref="F28" authorId="0" shapeId="0" xr:uid="{8D485946-E4A9-4BA7-9933-C1EA30E52EAC}">
      <text>
        <r>
          <rPr>
            <b/>
            <sz val="9"/>
            <color indexed="81"/>
            <rFont val="Tahoma"/>
            <family val="2"/>
          </rPr>
          <t>Laura Seoane:</t>
        </r>
        <r>
          <rPr>
            <sz val="9"/>
            <color indexed="81"/>
            <rFont val="Tahoma"/>
            <family val="2"/>
          </rPr>
          <t xml:space="preserve">
he fet servir el ratio pel 2010 fleet perquè a la guia EMEP no proporciona ratio pel 1997
</t>
        </r>
      </text>
    </comment>
  </commentList>
</comments>
</file>

<file path=xl/sharedStrings.xml><?xml version="1.0" encoding="utf-8"?>
<sst xmlns="http://schemas.openxmlformats.org/spreadsheetml/2006/main" count="761" uniqueCount="381">
  <si>
    <t>ARCADIA</t>
  </si>
  <si>
    <t>ORIANA</t>
  </si>
  <si>
    <t>VENTURA</t>
  </si>
  <si>
    <t>HEBRIDEAN SKY</t>
  </si>
  <si>
    <t>MEIN SCHIFF 3</t>
  </si>
  <si>
    <t>THOMSON CELEBRATION</t>
  </si>
  <si>
    <t>VIKING SKY</t>
  </si>
  <si>
    <t>VIKING SEA</t>
  </si>
  <si>
    <t>STAR LEGEND</t>
  </si>
  <si>
    <t>SILVER SPIRIT</t>
  </si>
  <si>
    <t>ALBATROS</t>
  </si>
  <si>
    <t>WIND STAR</t>
  </si>
  <si>
    <t>STAR BREEZE</t>
  </si>
  <si>
    <t>SIRENA</t>
  </si>
  <si>
    <t>NAUTICA</t>
  </si>
  <si>
    <t>AZAMARA QUEST</t>
  </si>
  <si>
    <t>AZURA</t>
  </si>
  <si>
    <t>QUEEN VICTORIA</t>
  </si>
  <si>
    <t>OCEANA</t>
  </si>
  <si>
    <t>NORWEGIAN SPIRIT</t>
  </si>
  <si>
    <t>NORWEGIAN EPIC</t>
  </si>
  <si>
    <t>SILVER MUSE</t>
  </si>
  <si>
    <t>INDEPENDENCE OF THE SEAS</t>
  </si>
  <si>
    <t>BRILLIANCE OF THE SEAS</t>
  </si>
  <si>
    <t>SEVEN SEAS VOYAGER</t>
  </si>
  <si>
    <t>ARTANIA</t>
  </si>
  <si>
    <t>BRITANNIA</t>
  </si>
  <si>
    <t>COSTA PACIFICA</t>
  </si>
  <si>
    <t>COSTA FASCINOSA</t>
  </si>
  <si>
    <t>AIDASTELLA</t>
  </si>
  <si>
    <t>SEVEN SEAS EXPLORER</t>
  </si>
  <si>
    <t>RIVIERA</t>
  </si>
  <si>
    <t>MARINA</t>
  </si>
  <si>
    <t>MEIN SCHIFF 2</t>
  </si>
  <si>
    <t>MEIN SCHIFF 5</t>
  </si>
  <si>
    <t>MEIN SCHIFF 4</t>
  </si>
  <si>
    <t>MSC MERAVIGLIA</t>
  </si>
  <si>
    <t>CELEBRITY CONSTELLATION</t>
  </si>
  <si>
    <t>WESTERDAM</t>
  </si>
  <si>
    <t>MSC SPLENDIDA</t>
  </si>
  <si>
    <t>MSC MAGNIFICA</t>
  </si>
  <si>
    <t>MSC ORCHESTRA</t>
  </si>
  <si>
    <t>SEVEN SEAS NAVIGATOR</t>
  </si>
  <si>
    <t>VISION OF THE SEAS</t>
  </si>
  <si>
    <t>FREEDOM OF THE SEAS</t>
  </si>
  <si>
    <t>NAVIGATOR OF THE SEA</t>
  </si>
  <si>
    <t>JEWEL OF THE SEAS</t>
  </si>
  <si>
    <t>AMADEA</t>
  </si>
  <si>
    <t>SILVER WIND</t>
  </si>
  <si>
    <t>COSTA MEDITERRANEA</t>
  </si>
  <si>
    <t>COSTA FAVOLOSA</t>
  </si>
  <si>
    <t>CELEBRITY REFLECTION</t>
  </si>
  <si>
    <t>CELEBRITY SILHOUETTE</t>
  </si>
  <si>
    <t>VEENDAM</t>
  </si>
  <si>
    <t>VIKING STAR</t>
  </si>
  <si>
    <t>MSC ARMONIA</t>
  </si>
  <si>
    <t>MSC FANTASIA</t>
  </si>
  <si>
    <t>ASTORIA</t>
  </si>
  <si>
    <t>RHAPSODY OF THE SEAS</t>
  </si>
  <si>
    <t>DISNEY MAGIC</t>
  </si>
  <si>
    <t>KONINGSDAM</t>
  </si>
  <si>
    <t>CROWN PRINCESS</t>
  </si>
  <si>
    <t>ROYAL PRINCESS</t>
  </si>
  <si>
    <t>QUEEN ELIZABETH</t>
  </si>
  <si>
    <t>COSTA DIADEMA</t>
  </si>
  <si>
    <t>AIDABELLA</t>
  </si>
  <si>
    <t>EUROPA 2</t>
  </si>
  <si>
    <t>ROTTERDAM</t>
  </si>
  <si>
    <t>STAR PRIDE</t>
  </si>
  <si>
    <t>ISLAND SKY</t>
  </si>
  <si>
    <t>VARIETY VOYAGER
luxury yatch</t>
  </si>
  <si>
    <t>OCEAN MAJESTY</t>
  </si>
  <si>
    <t>OCEAN NOVA</t>
  </si>
  <si>
    <t>SILVER WHISPER</t>
  </si>
  <si>
    <t>SILVER CLOUD</t>
  </si>
  <si>
    <t>BLACK WATCH</t>
  </si>
  <si>
    <t>BOUDICCA</t>
  </si>
  <si>
    <t>EUROPA</t>
  </si>
  <si>
    <t>CLUB MED 2</t>
  </si>
  <si>
    <t>LE LYRIAL</t>
  </si>
  <si>
    <t>INSIGNIA</t>
  </si>
  <si>
    <t>AZAMARA JOURNEY</t>
  </si>
  <si>
    <t>SAGA PEARL II</t>
  </si>
  <si>
    <t>ROYAL CLIPPER</t>
  </si>
  <si>
    <t>AEGEAN ODYSSEY</t>
  </si>
  <si>
    <t>CRYSTAL SYMPHONY</t>
  </si>
  <si>
    <t>SEABOURN ODYSSEY</t>
  </si>
  <si>
    <t>NORWEGIAN STAR</t>
  </si>
  <si>
    <t>SOVEREIGN</t>
  </si>
  <si>
    <t>MSC SEASIDE</t>
  </si>
  <si>
    <t>MSC PREZIOSA</t>
  </si>
  <si>
    <t>TANIT</t>
  </si>
  <si>
    <t>MSC POESIA</t>
  </si>
  <si>
    <t>VIKING SUN</t>
  </si>
  <si>
    <t>MAJESTIC PRINCESS</t>
  </si>
  <si>
    <t>AIDAPERLA</t>
  </si>
  <si>
    <t>CLIO</t>
  </si>
  <si>
    <t>CORINTHIAN</t>
  </si>
  <si>
    <t>SEABOURN QUEST</t>
  </si>
  <si>
    <t>SEABOURN ENCORE</t>
  </si>
  <si>
    <t>AIDABLU</t>
  </si>
  <si>
    <t>AIDACOSMA</t>
  </si>
  <si>
    <t>AIDADIVA</t>
  </si>
  <si>
    <t>ANTHEM OF THE SEAS</t>
  </si>
  <si>
    <t>ARVIA</t>
  </si>
  <si>
    <t>AURORA</t>
  </si>
  <si>
    <t>AZAMARA ONWARD</t>
  </si>
  <si>
    <t>BOREALIS</t>
  </si>
  <si>
    <t>CARNIVAL GLORY</t>
  </si>
  <si>
    <t>CARNIVAL LEGEND</t>
  </si>
  <si>
    <t>CELEBRITY APEX</t>
  </si>
  <si>
    <t>CELEBRITY ASCENT</t>
  </si>
  <si>
    <t>CELEBRITY EQUINOX</t>
  </si>
  <si>
    <t>CELEBRITY INFINITY</t>
  </si>
  <si>
    <t>CHRISTINA O</t>
  </si>
  <si>
    <t>COSTA DELIZIOSA</t>
  </si>
  <si>
    <t>COSTA FIRENZE</t>
  </si>
  <si>
    <t>COSTA FORTUNA</t>
  </si>
  <si>
    <t>COSTA SMERALDA</t>
  </si>
  <si>
    <t>COSTA TOSCANA</t>
  </si>
  <si>
    <t>DISNEY DREAM</t>
  </si>
  <si>
    <t>EMERALD SAKARA</t>
  </si>
  <si>
    <t>EVRIMA</t>
  </si>
  <si>
    <t>EXPLORA I</t>
  </si>
  <si>
    <t>EXPLORA II</t>
  </si>
  <si>
    <t>EXPLORER OF THE SEAS</t>
  </si>
  <si>
    <t>HAMBURG</t>
  </si>
  <si>
    <t>HANSEATIC NATURE</t>
  </si>
  <si>
    <t>ILMA</t>
  </si>
  <si>
    <t>IONA</t>
  </si>
  <si>
    <t>ISLAND PRINCESS</t>
  </si>
  <si>
    <t>LA BELLE DES OCEANS</t>
  </si>
  <si>
    <t>LE DUMONT D'URVILLE</t>
  </si>
  <si>
    <t>MARELLA DISCOVERY 2</t>
  </si>
  <si>
    <t>MARELLA EXPLORER 2</t>
  </si>
  <si>
    <t>MARELLA VOYAGER</t>
  </si>
  <si>
    <t>MSC DIVINA</t>
  </si>
  <si>
    <t>MSC GRANDIOSA</t>
  </si>
  <si>
    <t>MSC LIRICA</t>
  </si>
  <si>
    <t>MSC MUSICA</t>
  </si>
  <si>
    <t>MSC SEAVIEW</t>
  </si>
  <si>
    <t>MSC VIRTUOSA</t>
  </si>
  <si>
    <t>MSC WORLD EUROPA</t>
  </si>
  <si>
    <t>NATIONAL GEOGRAPHIC EXPLORER</t>
  </si>
  <si>
    <t>NIEUW STATENDAM</t>
  </si>
  <si>
    <t>NORWEGIAN DAWN</t>
  </si>
  <si>
    <t>NORWEGIAN ESCAPE</t>
  </si>
  <si>
    <t>NORWEGIAN GETAWAY</t>
  </si>
  <si>
    <t>NORWEGIAN PEARL</t>
  </si>
  <si>
    <t>NORWEGIAN PRIMA</t>
  </si>
  <si>
    <t>NORWEGIAN SKY</t>
  </si>
  <si>
    <t>NORWEGIAN VIVA</t>
  </si>
  <si>
    <t>OASIS OF THE SEAS</t>
  </si>
  <si>
    <t>ODYSSEY OF THE SEAS</t>
  </si>
  <si>
    <t>OOSTERDAM</t>
  </si>
  <si>
    <t>QUEEN ANNE</t>
  </si>
  <si>
    <t>RENAISSANCE</t>
  </si>
  <si>
    <t>RESILIENT LADY</t>
  </si>
  <si>
    <t>SCARLET LADY</t>
  </si>
  <si>
    <t>SCENIC ECLIPSE</t>
  </si>
  <si>
    <t>SEA CLOUD SPIRIT</t>
  </si>
  <si>
    <t>SEABOURN OVATION</t>
  </si>
  <si>
    <t>SEABOURN SOJOURN</t>
  </si>
  <si>
    <t>SERENADE OF THE SEAS</t>
  </si>
  <si>
    <t>SEVEN SEAS GRANDEUR</t>
  </si>
  <si>
    <t>SEVEN SEAS MARINER</t>
  </si>
  <si>
    <t>SILVER DAWN</t>
  </si>
  <si>
    <t>SILVER MOON</t>
  </si>
  <si>
    <t>SILVER RAY</t>
  </si>
  <si>
    <t>SKY PRINCESS</t>
  </si>
  <si>
    <t>SPIRIT OF ADVENTURE</t>
  </si>
  <si>
    <t>SPIRIT OF DISCOVERY</t>
  </si>
  <si>
    <t>SUN PRINCESS</t>
  </si>
  <si>
    <t>VIKING JUPITER</t>
  </si>
  <si>
    <t>VIKING MARS</t>
  </si>
  <si>
    <t>VIKING SATURN</t>
  </si>
  <si>
    <t>VIKING VELA</t>
  </si>
  <si>
    <t>VIKING VENUS</t>
  </si>
  <si>
    <t>VISTA</t>
  </si>
  <si>
    <t>VOYAGER OF THE SEAS</t>
  </si>
  <si>
    <t>WIND SPIRIT</t>
  </si>
  <si>
    <t>WORLD TRAVELLER</t>
  </si>
  <si>
    <t>VAIXELLNOM</t>
  </si>
  <si>
    <t>P_Main</t>
  </si>
  <si>
    <t>P_aux</t>
  </si>
  <si>
    <t>COSTA LUMINOSA</t>
  </si>
  <si>
    <t>LEGEND OF THE SEAS</t>
  </si>
  <si>
    <t>MEIN SCHIFF 1</t>
  </si>
  <si>
    <t>OCEAN DREAM</t>
  </si>
  <si>
    <t>PACIFIC PRINCESS</t>
  </si>
  <si>
    <t>PRINSENDAM</t>
  </si>
  <si>
    <t>SAGA SAPPHIRE</t>
  </si>
  <si>
    <t>THOMSON DREAM</t>
  </si>
  <si>
    <t>THOMSON MAJESTY</t>
  </si>
  <si>
    <t>TUI DISCOVERY 2</t>
  </si>
  <si>
    <t>TUI DISCOVERY</t>
  </si>
  <si>
    <t>AIDAAURA</t>
  </si>
  <si>
    <t>MMSI</t>
  </si>
  <si>
    <t>IMO</t>
  </si>
  <si>
    <t>ADVENTURE OF THE SEAS</t>
  </si>
  <si>
    <t>AMSTERDAM</t>
  </si>
  <si>
    <t>BERLIN</t>
  </si>
  <si>
    <t>COSTA MAGICA</t>
  </si>
  <si>
    <t>SEVEN SEAS SPLENDOR</t>
  </si>
  <si>
    <t>WIND SURF</t>
  </si>
  <si>
    <t>WORLD ODYSSEY</t>
  </si>
  <si>
    <t>Fuel</t>
  </si>
  <si>
    <t>P_GT</t>
  </si>
  <si>
    <t>MDO/MGO</t>
  </si>
  <si>
    <t>LNG</t>
  </si>
  <si>
    <t>NaN</t>
  </si>
  <si>
    <t>ABEL MATUTES</t>
  </si>
  <si>
    <t>ADONIA</t>
  </si>
  <si>
    <t>AIDACARA</t>
  </si>
  <si>
    <t>AIDALUNA</t>
  </si>
  <si>
    <t>AIDAMAR</t>
  </si>
  <si>
    <t>AIDANOVA</t>
  </si>
  <si>
    <t>AIDAPRIMA</t>
  </si>
  <si>
    <t>AIDASOL</t>
  </si>
  <si>
    <t>AIDAVITA</t>
  </si>
  <si>
    <t>ALLURA</t>
  </si>
  <si>
    <t>ALLURE OF THE SEAS</t>
  </si>
  <si>
    <t>AMBIENCE</t>
  </si>
  <si>
    <t>AMERA</t>
  </si>
  <si>
    <t>ASTOR</t>
  </si>
  <si>
    <t>ASUKA II</t>
  </si>
  <si>
    <t>ATHENA</t>
  </si>
  <si>
    <t>AZAMARA PURSUIT</t>
  </si>
  <si>
    <t>BALMORAL</t>
  </si>
  <si>
    <t>BOLETTE</t>
  </si>
  <si>
    <t>BRAEMAR</t>
  </si>
  <si>
    <t>BRILLIANT LADY</t>
  </si>
  <si>
    <t>CALEDONIAN SKY</t>
  </si>
  <si>
    <t>CARIBBEAN PRINCESS</t>
  </si>
  <si>
    <t>CARNIVAL BREEZE</t>
  </si>
  <si>
    <t>CARNIVAL DESTINY</t>
  </si>
  <si>
    <t>CARNIVAL FREEDOM</t>
  </si>
  <si>
    <t>CARNIVAL HORIZON</t>
  </si>
  <si>
    <t>CARNIVAL MAGIC</t>
  </si>
  <si>
    <t>CARNIVAL PRIDE</t>
  </si>
  <si>
    <t>CARNIVAL SPIRIT</t>
  </si>
  <si>
    <t>CARNIVAL SUNSHINE</t>
  </si>
  <si>
    <t>CARNIVAL VALOR</t>
  </si>
  <si>
    <t>CARNIVAL VENEZIA</t>
  </si>
  <si>
    <t>CARNIVAL VISTA</t>
  </si>
  <si>
    <t>CELEBRITY BEYOND</t>
  </si>
  <si>
    <t>CELEBRITY ECLIPSE</t>
  </si>
  <si>
    <t>CELEBRITY EDGE</t>
  </si>
  <si>
    <t>CELESTYAL CRYSTAL</t>
  </si>
  <si>
    <t>CELESTYAL OLYMPIA</t>
  </si>
  <si>
    <t>COLUMBUS 2</t>
  </si>
  <si>
    <t>CORAL PRINCESS</t>
  </si>
  <si>
    <t>CORINTHIAN II</t>
  </si>
  <si>
    <t>COSTA ATLANTICA</t>
  </si>
  <si>
    <t>COSTA CLASSICA</t>
  </si>
  <si>
    <t>COSTA CONCORDIA</t>
  </si>
  <si>
    <t>COSTA NEOCLASSICA</t>
  </si>
  <si>
    <t>COSTA NEORIVIERA</t>
  </si>
  <si>
    <t>COSTA NEOROMANTICA</t>
  </si>
  <si>
    <t>COSTA SERENA</t>
  </si>
  <si>
    <t>COSTA VICTORIA</t>
  </si>
  <si>
    <t>COSTA VOYAGER</t>
  </si>
  <si>
    <t>CRYSTAL ESPRIT</t>
  </si>
  <si>
    <t>CRYSTAL SERENITY</t>
  </si>
  <si>
    <t>DANIELLE CASANOVA</t>
  </si>
  <si>
    <t>DAWN PRINCESS</t>
  </si>
  <si>
    <t>DELPHIN</t>
  </si>
  <si>
    <t>DEUTSCHLAND</t>
  </si>
  <si>
    <t>DISCOVERY</t>
  </si>
  <si>
    <t>DISNEY FANTASY</t>
  </si>
  <si>
    <t>EMERALD PRINCESS</t>
  </si>
  <si>
    <t>ENCHANTED PRINCESS</t>
  </si>
  <si>
    <t>ENCHANTMENT OF THE SEAS</t>
  </si>
  <si>
    <t>EURODAM</t>
  </si>
  <si>
    <t>EXPLORER</t>
  </si>
  <si>
    <t>FTI BERLIN</t>
  </si>
  <si>
    <t>GOLDEN IRIS</t>
  </si>
  <si>
    <t>GRAND CELEBRATION</t>
  </si>
  <si>
    <t>GRAND HOLIDAY</t>
  </si>
  <si>
    <t>GRAND PRINCESS</t>
  </si>
  <si>
    <t>GRANDEUR OF THE SEAS</t>
  </si>
  <si>
    <t>HANSEATIC</t>
  </si>
  <si>
    <t>HARMONY G</t>
  </si>
  <si>
    <t>HARMONY OF THE SEAS</t>
  </si>
  <si>
    <t>HORIZON</t>
  </si>
  <si>
    <t>INDEPENDENCE OF SEAS</t>
  </si>
  <si>
    <t>ISLAND ESCAPE</t>
  </si>
  <si>
    <t>JAUME I</t>
  </si>
  <si>
    <t>KRISTINA KATARINA</t>
  </si>
  <si>
    <t>L'AUSTRAL</t>
  </si>
  <si>
    <t>LA BELLE DE L`ADRIAT</t>
  </si>
  <si>
    <t>LE BOUGAINVILLE</t>
  </si>
  <si>
    <t>LE CHAMPLAIN</t>
  </si>
  <si>
    <t>LE JACQUES CARTIER</t>
  </si>
  <si>
    <t>LE LAPEROUSE</t>
  </si>
  <si>
    <t>LE PONANT</t>
  </si>
  <si>
    <t>LE SOLEAL</t>
  </si>
  <si>
    <t>LIBERTY OF THE SEAS</t>
  </si>
  <si>
    <t>LOUIS AURA</t>
  </si>
  <si>
    <t>LOUIS CRISTAL</t>
  </si>
  <si>
    <t>LUMINARA</t>
  </si>
  <si>
    <t>MAASDAM</t>
  </si>
  <si>
    <t>MAGELLAN</t>
  </si>
  <si>
    <t>MARDI GRAS</t>
  </si>
  <si>
    <t>MARELLA CELEBRATION</t>
  </si>
  <si>
    <t>MARELLA DISCOVERY</t>
  </si>
  <si>
    <t>MARELLA DREAM</t>
  </si>
  <si>
    <t>MARELLA EXPLORER</t>
  </si>
  <si>
    <t>MARELLA SPIRIT</t>
  </si>
  <si>
    <t>MARINER OF THE SEAS</t>
  </si>
  <si>
    <t>MEIN SCHIFF 6</t>
  </si>
  <si>
    <t>MEIN SCHIFF 7</t>
  </si>
  <si>
    <t>MEIN SCHIFF HERZ</t>
  </si>
  <si>
    <t>MEIN SCHIFF RELAX</t>
  </si>
  <si>
    <t>MINERVA</t>
  </si>
  <si>
    <t>MSC BELLISSIMA</t>
  </si>
  <si>
    <t>MSC OPERA</t>
  </si>
  <si>
    <t>MSC SEASCAPE</t>
  </si>
  <si>
    <t>MSC SEASHORE</t>
  </si>
  <si>
    <t>MSC SINFONIA</t>
  </si>
  <si>
    <t>NATIONAL GEOGRAPHIC ORION</t>
  </si>
  <si>
    <t>NIEUW AMSTERDAM</t>
  </si>
  <si>
    <t>NOORDAM</t>
  </si>
  <si>
    <t>NORWEGIAN BLISS</t>
  </si>
  <si>
    <t>NORWEGIAN BREAKAWAY</t>
  </si>
  <si>
    <t>NORWEGIAN GEM</t>
  </si>
  <si>
    <t>NORWEGIAN JADE</t>
  </si>
  <si>
    <t>NORWEGIAN JEWEL</t>
  </si>
  <si>
    <t>OCEAN ADVENTURER</t>
  </si>
  <si>
    <t>OCEAN COUNTESS</t>
  </si>
  <si>
    <t>OCEAN PRINCESS</t>
  </si>
  <si>
    <t>OVATION OF THE SEAS</t>
  </si>
  <si>
    <t>PACIFIC WORLD</t>
  </si>
  <si>
    <t>PRINCESS DANAE</t>
  </si>
  <si>
    <t>QUANTUM OF THE SEAS</t>
  </si>
  <si>
    <t>QUEEN MARY 2</t>
  </si>
  <si>
    <t>QUEST FOR ADVENTURE</t>
  </si>
  <si>
    <t>REGAL PRINCESS</t>
  </si>
  <si>
    <t>RUBY PRINCESS</t>
  </si>
  <si>
    <t>RYNDAM</t>
  </si>
  <si>
    <t>SAGA RUBY</t>
  </si>
  <si>
    <t>SAPPHIRE PRINCESS</t>
  </si>
  <si>
    <t>SCENIC ECLIPSE II</t>
  </si>
  <si>
    <t>SEA CLOUD</t>
  </si>
  <si>
    <t>SEA CLOUD II</t>
  </si>
  <si>
    <t>SEA PRINCESS</t>
  </si>
  <si>
    <t>SEABOURN LEGEND</t>
  </si>
  <si>
    <t>SEABOURN PRIDE</t>
  </si>
  <si>
    <t>SEABOURN PURSUIT</t>
  </si>
  <si>
    <t>SEABOURN SPIRIT</t>
  </si>
  <si>
    <t>SEABOURN VENTURE</t>
  </si>
  <si>
    <t>SEADREAM I</t>
  </si>
  <si>
    <t>SEADREAM II</t>
  </si>
  <si>
    <t>SERENISSIMA</t>
  </si>
  <si>
    <t>SILVER EXPLORER</t>
  </si>
  <si>
    <t>SILVER NOVA</t>
  </si>
  <si>
    <t>SILVER SHADOW</t>
  </si>
  <si>
    <t>SPECTRUM OF THE SEAS</t>
  </si>
  <si>
    <t>SPLENDOUR OF THE SEAS</t>
  </si>
  <si>
    <t>STAD AMSTERDAM</t>
  </si>
  <si>
    <t>STAR CLIPPER</t>
  </si>
  <si>
    <t>STAR FLYER</t>
  </si>
  <si>
    <t>STAR PRINCESS</t>
  </si>
  <si>
    <t>SYLVIA EARLE</t>
  </si>
  <si>
    <t>SYMPHONY OF THE SEAS</t>
  </si>
  <si>
    <t>TERE MOANA</t>
  </si>
  <si>
    <t>THE WORLD</t>
  </si>
  <si>
    <t>THOMSON SPIRIT</t>
  </si>
  <si>
    <t>VALIANT LADY</t>
  </si>
  <si>
    <t>VASCO DA GAMA</t>
  </si>
  <si>
    <t>VIKING NEPTUNE</t>
  </si>
  <si>
    <t>VIKING ORION</t>
  </si>
  <si>
    <t>VIKING VESTA</t>
  </si>
  <si>
    <t>VOLENDAM</t>
  </si>
  <si>
    <t>VOYAGER</t>
  </si>
  <si>
    <t>WONDER OF THE SEAS</t>
  </si>
  <si>
    <t>WORLD NAVIGATOR</t>
  </si>
  <si>
    <t>WORLD VOYAGER</t>
  </si>
  <si>
    <t>ZENITH</t>
  </si>
  <si>
    <t>ZUIDERDAM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</si>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</sst>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/>
    <xf numFmtId="0" fontId="0" fillId="2" borderId="0" xfId="0" applyFill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3F83-915D-454B-B8A1-295B35686F68}">
  <dimension ref="A1:G966"/>
  <sheetViews>
    <sheetView tabSelected="1" topLeftCell="A356" zoomScale="87" zoomScaleNormal="85" workbookViewId="0">
      <selection activeCell="D374" sqref="D374"/>
    </sheetView>
  </sheetViews>
  <sheetFormatPr baseColWidth="10" defaultColWidth="8.6640625" defaultRowHeight="14"/>
  <cols>
    <col min="1" max="1" width="32.9140625" style="4" customWidth="1"/>
    <col min="2" max="2" width="2.4140625" customWidth="1"/>
    <col min="3" max="3" width="2.33203125" customWidth="1"/>
    <col min="4" max="4" width="10.75" style="5" customWidth="1"/>
    <col min="5" max="5" width="14.75" style="3" bestFit="1" customWidth="1"/>
    <col min="6" max="6" width="12.58203125" bestFit="1" customWidth="1"/>
  </cols>
  <sheetData>
    <row r="1" spans="1:7">
      <c r="A1" t="s">
        <v>182</v>
      </c>
      <c r="B1" t="s">
        <v>197</v>
      </c>
      <c r="C1" t="s">
        <v>198</v>
      </c>
      <c r="D1" t="s">
        <v>183</v>
      </c>
      <c r="E1" t="s">
        <v>184</v>
      </c>
      <c r="F1" t="s">
        <v>207</v>
      </c>
      <c r="G1" t="s">
        <v>206</v>
      </c>
    </row>
    <row r="2" spans="1:7">
      <c r="A2" t="s">
        <v>211</v>
      </c>
      <c r="B2" s="6">
        <v>224402000</v>
      </c>
      <c r="C2">
        <v>9441130</v>
      </c>
      <c r="D2" s="6">
        <v>18000</v>
      </c>
      <c r="E2" s="6">
        <f>$D2*0.16</f>
        <v>2880</v>
      </c>
      <c r="F2" s="6"/>
      <c r="G2" t="s">
        <v>209</v>
      </c>
    </row>
    <row r="3" spans="1:7">
      <c r="A3" t="s">
        <v>212</v>
      </c>
      <c r="B3">
        <v>248762000</v>
      </c>
      <c r="C3">
        <v>9210220</v>
      </c>
      <c r="D3">
        <v>13500</v>
      </c>
      <c r="E3" s="6">
        <f t="shared" ref="E3:E4" si="0">$D3*0.16</f>
        <v>2160</v>
      </c>
      <c r="F3">
        <v>30.277000000000001</v>
      </c>
      <c r="G3" t="s">
        <v>208</v>
      </c>
    </row>
    <row r="4" spans="1:7">
      <c r="A4" t="s">
        <v>199</v>
      </c>
      <c r="B4">
        <v>311263000</v>
      </c>
      <c r="C4">
        <v>9167227</v>
      </c>
      <c r="D4">
        <v>75600</v>
      </c>
      <c r="E4" s="6">
        <f t="shared" si="0"/>
        <v>12096</v>
      </c>
      <c r="F4">
        <v>137276</v>
      </c>
      <c r="G4" t="s">
        <v>208</v>
      </c>
    </row>
    <row r="5" spans="1:7">
      <c r="A5" t="s">
        <v>84</v>
      </c>
      <c r="B5">
        <v>374757000</v>
      </c>
      <c r="C5">
        <v>7225910</v>
      </c>
      <c r="D5">
        <v>10154</v>
      </c>
      <c r="E5">
        <f t="shared" ref="E5:E27" si="1">D5*0.16</f>
        <v>1624.64</v>
      </c>
      <c r="F5">
        <v>11.906000000000001</v>
      </c>
      <c r="G5" t="s">
        <v>208</v>
      </c>
    </row>
    <row r="6" spans="1:7">
      <c r="A6" t="s">
        <v>196</v>
      </c>
      <c r="B6">
        <v>247117400</v>
      </c>
      <c r="C6">
        <v>9221566</v>
      </c>
      <c r="D6">
        <v>27150</v>
      </c>
      <c r="E6">
        <f t="shared" si="1"/>
        <v>4344</v>
      </c>
      <c r="F6">
        <v>8968.8809032032677</v>
      </c>
      <c r="G6" t="s">
        <v>208</v>
      </c>
    </row>
    <row r="7" spans="1:7">
      <c r="A7" t="s">
        <v>65</v>
      </c>
      <c r="B7">
        <v>247229700</v>
      </c>
      <c r="C7">
        <v>9362542</v>
      </c>
      <c r="D7">
        <v>36000</v>
      </c>
      <c r="E7">
        <f t="shared" si="1"/>
        <v>5760</v>
      </c>
      <c r="F7">
        <v>8665.5333950350487</v>
      </c>
      <c r="G7" t="s">
        <v>208</v>
      </c>
    </row>
    <row r="8" spans="1:7">
      <c r="A8" t="s">
        <v>100</v>
      </c>
      <c r="B8">
        <v>247282500</v>
      </c>
      <c r="C8">
        <v>9398888</v>
      </c>
      <c r="D8">
        <v>36000</v>
      </c>
      <c r="E8">
        <f t="shared" si="1"/>
        <v>5760</v>
      </c>
      <c r="F8">
        <v>4967.9287238725456</v>
      </c>
      <c r="G8" t="s">
        <v>208</v>
      </c>
    </row>
    <row r="9" spans="1:7">
      <c r="A9" t="s">
        <v>213</v>
      </c>
      <c r="B9">
        <v>247117300</v>
      </c>
      <c r="C9">
        <v>9112789</v>
      </c>
      <c r="D9">
        <v>21720</v>
      </c>
      <c r="E9">
        <f t="shared" si="1"/>
        <v>3475.2000000000003</v>
      </c>
      <c r="F9">
        <v>38531</v>
      </c>
      <c r="G9" t="s">
        <v>208</v>
      </c>
    </row>
    <row r="10" spans="1:7">
      <c r="A10" t="s">
        <v>101</v>
      </c>
      <c r="B10">
        <v>247435300</v>
      </c>
      <c r="C10">
        <v>9781877</v>
      </c>
      <c r="D10">
        <v>61800</v>
      </c>
      <c r="E10">
        <f t="shared" si="1"/>
        <v>9888</v>
      </c>
      <c r="F10">
        <v>10337.606109452778</v>
      </c>
      <c r="G10" t="s">
        <v>209</v>
      </c>
    </row>
    <row r="11" spans="1:7" s="6" customFormat="1">
      <c r="A11" t="s">
        <v>102</v>
      </c>
      <c r="B11">
        <v>247187700</v>
      </c>
      <c r="C11">
        <v>9334856</v>
      </c>
      <c r="D11">
        <v>36000</v>
      </c>
      <c r="E11">
        <f t="shared" si="1"/>
        <v>5760</v>
      </c>
      <c r="F11">
        <v>5731.3944275232425</v>
      </c>
      <c r="G11" t="s">
        <v>208</v>
      </c>
    </row>
    <row r="12" spans="1:7">
      <c r="A12" t="s">
        <v>214</v>
      </c>
      <c r="B12">
        <v>247255400</v>
      </c>
      <c r="C12">
        <v>9334868</v>
      </c>
      <c r="D12">
        <v>36000</v>
      </c>
      <c r="E12" s="3">
        <f t="shared" si="1"/>
        <v>5760</v>
      </c>
      <c r="F12">
        <v>69203</v>
      </c>
      <c r="G12" t="s">
        <v>208</v>
      </c>
    </row>
    <row r="13" spans="1:7">
      <c r="A13" t="s">
        <v>215</v>
      </c>
      <c r="B13">
        <v>247312900</v>
      </c>
      <c r="C13">
        <v>9490052</v>
      </c>
      <c r="D13">
        <v>36000</v>
      </c>
      <c r="E13" s="3">
        <f t="shared" si="1"/>
        <v>5760</v>
      </c>
      <c r="F13">
        <v>71304</v>
      </c>
      <c r="G13" t="s">
        <v>208</v>
      </c>
    </row>
    <row r="14" spans="1:7">
      <c r="A14" t="s">
        <v>216</v>
      </c>
      <c r="B14">
        <v>247389200</v>
      </c>
      <c r="C14">
        <v>9781865</v>
      </c>
      <c r="D14">
        <v>61800</v>
      </c>
      <c r="E14" s="3">
        <f t="shared" si="1"/>
        <v>9888</v>
      </c>
      <c r="F14">
        <v>183858</v>
      </c>
      <c r="G14" t="s">
        <v>209</v>
      </c>
    </row>
    <row r="15" spans="1:7">
      <c r="A15" t="s">
        <v>95</v>
      </c>
      <c r="B15">
        <v>247385300</v>
      </c>
      <c r="C15">
        <v>9636967</v>
      </c>
      <c r="D15">
        <v>28409</v>
      </c>
      <c r="E15">
        <f t="shared" si="1"/>
        <v>4545.4400000000005</v>
      </c>
      <c r="F15">
        <v>5330.5802304691997</v>
      </c>
      <c r="G15" t="s">
        <v>208</v>
      </c>
    </row>
    <row r="16" spans="1:7">
      <c r="A16" t="s">
        <v>217</v>
      </c>
      <c r="B16">
        <v>247353800</v>
      </c>
      <c r="C16">
        <v>9636955</v>
      </c>
      <c r="D16">
        <v>45000</v>
      </c>
      <c r="E16" s="3">
        <f t="shared" si="1"/>
        <v>7200</v>
      </c>
      <c r="F16">
        <v>125572</v>
      </c>
      <c r="G16" t="s">
        <v>380</v>
      </c>
    </row>
    <row r="17" spans="1:7">
      <c r="A17" t="s">
        <v>218</v>
      </c>
      <c r="B17">
        <v>247302900</v>
      </c>
      <c r="C17">
        <v>9490040</v>
      </c>
      <c r="D17">
        <v>36000</v>
      </c>
      <c r="E17" s="3">
        <f t="shared" si="1"/>
        <v>5760</v>
      </c>
      <c r="F17" s="4">
        <v>71304</v>
      </c>
      <c r="G17" t="s">
        <v>208</v>
      </c>
    </row>
    <row r="18" spans="1:7">
      <c r="A18" t="s">
        <v>29</v>
      </c>
      <c r="B18">
        <v>247322800</v>
      </c>
      <c r="C18">
        <v>9601132</v>
      </c>
      <c r="D18">
        <v>32000</v>
      </c>
      <c r="E18">
        <f t="shared" si="1"/>
        <v>5120</v>
      </c>
      <c r="F18">
        <v>8281.6033951547342</v>
      </c>
      <c r="G18" t="s">
        <v>208</v>
      </c>
    </row>
    <row r="19" spans="1:7">
      <c r="A19" t="s">
        <v>219</v>
      </c>
      <c r="B19">
        <v>247114900</v>
      </c>
      <c r="C19">
        <v>9221554</v>
      </c>
      <c r="D19">
        <v>27550</v>
      </c>
      <c r="E19" s="3">
        <f t="shared" si="1"/>
        <v>4408</v>
      </c>
      <c r="F19">
        <v>42289</v>
      </c>
      <c r="G19" t="s">
        <v>208</v>
      </c>
    </row>
    <row r="20" spans="1:7">
      <c r="A20" s="6" t="s">
        <v>10</v>
      </c>
      <c r="B20" s="6">
        <v>308784000</v>
      </c>
      <c r="C20" s="6">
        <v>7304314</v>
      </c>
      <c r="D20">
        <v>12600</v>
      </c>
      <c r="E20" s="6">
        <f t="shared" si="1"/>
        <v>2016</v>
      </c>
      <c r="F20" s="6">
        <v>1691.0853521493966</v>
      </c>
      <c r="G20" s="6" t="s">
        <v>208</v>
      </c>
    </row>
    <row r="21" spans="1:7">
      <c r="A21" t="s">
        <v>220</v>
      </c>
      <c r="B21">
        <v>538011254</v>
      </c>
      <c r="C21">
        <v>9876969</v>
      </c>
      <c r="D21">
        <v>12000</v>
      </c>
      <c r="E21" s="3">
        <f t="shared" si="1"/>
        <v>1920</v>
      </c>
      <c r="F21" s="4">
        <v>67901</v>
      </c>
      <c r="G21" s="6" t="s">
        <v>208</v>
      </c>
    </row>
    <row r="22" spans="1:7">
      <c r="A22" s="7" t="s">
        <v>221</v>
      </c>
      <c r="B22">
        <v>311020700</v>
      </c>
      <c r="C22">
        <v>9383948</v>
      </c>
      <c r="D22">
        <v>97020</v>
      </c>
      <c r="E22" s="3">
        <f t="shared" si="1"/>
        <v>15523.2</v>
      </c>
      <c r="F22">
        <v>225.28200000000001</v>
      </c>
      <c r="G22" s="6" t="s">
        <v>208</v>
      </c>
    </row>
    <row r="23" spans="1:7">
      <c r="A23" t="s">
        <v>47</v>
      </c>
      <c r="B23">
        <v>308445000</v>
      </c>
      <c r="C23">
        <v>8913162</v>
      </c>
      <c r="D23">
        <v>27400</v>
      </c>
      <c r="E23">
        <f t="shared" si="1"/>
        <v>4384</v>
      </c>
      <c r="F23">
        <v>9281.0431589195341</v>
      </c>
      <c r="G23" t="s">
        <v>208</v>
      </c>
    </row>
    <row r="24" spans="1:7">
      <c r="A24" t="s">
        <v>222</v>
      </c>
      <c r="B24">
        <v>304909000</v>
      </c>
      <c r="C24">
        <v>9356414</v>
      </c>
      <c r="D24">
        <v>38800</v>
      </c>
      <c r="E24" s="3">
        <f t="shared" si="1"/>
        <v>6208</v>
      </c>
      <c r="F24" s="4">
        <v>70285</v>
      </c>
      <c r="G24" t="s">
        <v>209</v>
      </c>
    </row>
    <row r="25" spans="1:7">
      <c r="A25" t="s">
        <v>223</v>
      </c>
      <c r="B25">
        <v>311000840</v>
      </c>
      <c r="C25">
        <v>8700280</v>
      </c>
      <c r="D25">
        <v>21120</v>
      </c>
      <c r="E25" s="3">
        <f t="shared" si="1"/>
        <v>3379.2000000000003</v>
      </c>
      <c r="F25">
        <v>37845</v>
      </c>
      <c r="G25" t="s">
        <v>208</v>
      </c>
    </row>
    <row r="26" spans="1:7">
      <c r="A26" t="s">
        <v>200</v>
      </c>
      <c r="B26">
        <v>311000986</v>
      </c>
      <c r="C26">
        <v>9188037</v>
      </c>
      <c r="D26">
        <v>64000</v>
      </c>
      <c r="E26">
        <f t="shared" si="1"/>
        <v>10240</v>
      </c>
      <c r="F26">
        <v>8726.0116196245654</v>
      </c>
      <c r="G26" t="s">
        <v>208</v>
      </c>
    </row>
    <row r="27" spans="1:7">
      <c r="A27" t="s">
        <v>103</v>
      </c>
      <c r="B27">
        <v>311000274</v>
      </c>
      <c r="C27">
        <v>9656101</v>
      </c>
      <c r="D27">
        <v>67200</v>
      </c>
      <c r="E27">
        <f t="shared" si="1"/>
        <v>10752</v>
      </c>
      <c r="F27">
        <v>9811.965906454534</v>
      </c>
      <c r="G27" t="s">
        <v>208</v>
      </c>
    </row>
    <row r="28" spans="1:7">
      <c r="A28" t="s">
        <v>0</v>
      </c>
      <c r="B28">
        <v>310459000</v>
      </c>
      <c r="C28">
        <v>9226906</v>
      </c>
      <c r="D28">
        <v>62610</v>
      </c>
      <c r="E28">
        <f>D28*0.27</f>
        <v>16904.7</v>
      </c>
      <c r="F28">
        <v>1295.6379710531653</v>
      </c>
      <c r="G28" t="s">
        <v>208</v>
      </c>
    </row>
    <row r="29" spans="1:7">
      <c r="A29" t="s">
        <v>25</v>
      </c>
      <c r="B29">
        <v>311000608</v>
      </c>
      <c r="C29">
        <v>8201480</v>
      </c>
      <c r="D29">
        <v>36000</v>
      </c>
      <c r="E29">
        <f t="shared" ref="E29:E37" si="2">D29*0.16</f>
        <v>5760</v>
      </c>
      <c r="F29">
        <v>10239.336024214399</v>
      </c>
      <c r="G29" t="s">
        <v>208</v>
      </c>
    </row>
    <row r="30" spans="1:7">
      <c r="A30" t="s">
        <v>104</v>
      </c>
      <c r="B30">
        <v>232040520</v>
      </c>
      <c r="C30">
        <v>9849693</v>
      </c>
      <c r="D30">
        <v>61700</v>
      </c>
      <c r="E30">
        <f t="shared" si="2"/>
        <v>9872</v>
      </c>
      <c r="F30">
        <v>10364.722480101529</v>
      </c>
      <c r="G30" t="s">
        <v>209</v>
      </c>
    </row>
    <row r="31" spans="1:7">
      <c r="A31" t="s">
        <v>224</v>
      </c>
      <c r="B31">
        <v>308214000</v>
      </c>
      <c r="C31">
        <v>8506373</v>
      </c>
      <c r="D31">
        <v>15400</v>
      </c>
      <c r="E31" s="3">
        <f t="shared" si="2"/>
        <v>2464</v>
      </c>
      <c r="F31">
        <v>20704</v>
      </c>
      <c r="G31" t="s">
        <v>208</v>
      </c>
    </row>
    <row r="32" spans="1:7">
      <c r="A32" t="s">
        <v>57</v>
      </c>
      <c r="B32">
        <v>255801380</v>
      </c>
      <c r="C32">
        <v>5383304</v>
      </c>
      <c r="D32">
        <v>10700</v>
      </c>
      <c r="E32">
        <f t="shared" si="2"/>
        <v>1712</v>
      </c>
      <c r="F32">
        <v>12016.428278784684</v>
      </c>
      <c r="G32" t="s">
        <v>208</v>
      </c>
    </row>
    <row r="33" spans="1:7">
      <c r="A33" t="s">
        <v>225</v>
      </c>
      <c r="B33">
        <v>432545000</v>
      </c>
      <c r="C33">
        <v>8806204</v>
      </c>
      <c r="D33">
        <v>32800</v>
      </c>
      <c r="E33" s="3">
        <f t="shared" si="2"/>
        <v>5248</v>
      </c>
      <c r="F33">
        <v>50444</v>
      </c>
      <c r="G33" t="s">
        <v>208</v>
      </c>
    </row>
    <row r="34" spans="1:7">
      <c r="A34" t="s">
        <v>226</v>
      </c>
      <c r="B34">
        <v>319012000</v>
      </c>
      <c r="C34">
        <v>1007237</v>
      </c>
      <c r="D34">
        <v>1624</v>
      </c>
      <c r="E34" s="3">
        <f t="shared" si="2"/>
        <v>259.84000000000003</v>
      </c>
      <c r="F34">
        <v>1206</v>
      </c>
      <c r="G34" t="s">
        <v>208</v>
      </c>
    </row>
    <row r="35" spans="1:7">
      <c r="A35" t="s">
        <v>105</v>
      </c>
      <c r="B35">
        <v>310556000</v>
      </c>
      <c r="C35">
        <v>9169524</v>
      </c>
      <c r="D35">
        <v>79900</v>
      </c>
      <c r="E35">
        <f t="shared" si="2"/>
        <v>12784</v>
      </c>
      <c r="F35">
        <v>6072.1092894817393</v>
      </c>
      <c r="G35" t="s">
        <v>208</v>
      </c>
    </row>
    <row r="36" spans="1:7">
      <c r="A36" t="s">
        <v>81</v>
      </c>
      <c r="B36">
        <v>538012045</v>
      </c>
      <c r="C36">
        <v>9200940</v>
      </c>
      <c r="D36">
        <v>13500</v>
      </c>
      <c r="E36">
        <f t="shared" si="2"/>
        <v>2160</v>
      </c>
      <c r="F36">
        <v>3578.2681226584364</v>
      </c>
      <c r="G36" t="s">
        <v>208</v>
      </c>
    </row>
    <row r="37" spans="1:7">
      <c r="A37" t="s">
        <v>106</v>
      </c>
      <c r="B37">
        <v>229765000</v>
      </c>
      <c r="C37">
        <v>9187887</v>
      </c>
      <c r="D37">
        <v>13500</v>
      </c>
      <c r="E37">
        <f t="shared" si="2"/>
        <v>2160</v>
      </c>
      <c r="F37">
        <v>3480.1383252296901</v>
      </c>
      <c r="G37" t="s">
        <v>208</v>
      </c>
    </row>
    <row r="38" spans="1:7">
      <c r="A38" t="s">
        <v>227</v>
      </c>
      <c r="B38">
        <v>248762000</v>
      </c>
      <c r="C38">
        <v>9210220</v>
      </c>
      <c r="D38">
        <v>13500</v>
      </c>
      <c r="E38" s="6">
        <f t="shared" ref="E38" si="3">$D38*0.16</f>
        <v>2160</v>
      </c>
      <c r="F38">
        <v>30277</v>
      </c>
      <c r="G38" t="s">
        <v>208</v>
      </c>
    </row>
    <row r="39" spans="1:7">
      <c r="A39" t="s">
        <v>15</v>
      </c>
      <c r="B39">
        <v>256216000</v>
      </c>
      <c r="C39">
        <v>9210218</v>
      </c>
      <c r="D39">
        <v>24880</v>
      </c>
      <c r="E39">
        <f>D39*0.27</f>
        <v>6717.6</v>
      </c>
      <c r="F39">
        <v>1044.0820642179895</v>
      </c>
      <c r="G39" t="s">
        <v>208</v>
      </c>
    </row>
    <row r="40" spans="1:7">
      <c r="A40" t="s">
        <v>16</v>
      </c>
      <c r="B40">
        <v>310610000</v>
      </c>
      <c r="C40">
        <v>9424883</v>
      </c>
      <c r="D40">
        <v>67200</v>
      </c>
      <c r="E40">
        <f>D40*0.16</f>
        <v>10752</v>
      </c>
      <c r="F40">
        <v>11340.5993728102</v>
      </c>
      <c r="G40" t="s">
        <v>208</v>
      </c>
    </row>
    <row r="41" spans="1:7">
      <c r="A41" t="s">
        <v>228</v>
      </c>
      <c r="B41">
        <v>308785000</v>
      </c>
      <c r="C41">
        <v>8506294</v>
      </c>
      <c r="D41">
        <v>21315</v>
      </c>
      <c r="E41">
        <f>D41*0.16</f>
        <v>3410.4</v>
      </c>
      <c r="F41">
        <v>43537</v>
      </c>
      <c r="G41" t="s">
        <v>208</v>
      </c>
    </row>
    <row r="42" spans="1:7">
      <c r="A42" t="s">
        <v>201</v>
      </c>
      <c r="B42">
        <v>311000998</v>
      </c>
      <c r="C42">
        <v>7904889</v>
      </c>
      <c r="D42">
        <v>2235.2431479289394</v>
      </c>
      <c r="E42">
        <f>D42*0.16</f>
        <v>357.63890366863029</v>
      </c>
      <c r="F42">
        <v>2235.2431479289394</v>
      </c>
      <c r="G42" t="s">
        <v>208</v>
      </c>
    </row>
    <row r="43" spans="1:7">
      <c r="A43" t="s">
        <v>75</v>
      </c>
      <c r="B43">
        <v>311166000</v>
      </c>
      <c r="C43">
        <v>7108930</v>
      </c>
      <c r="D43">
        <v>14000</v>
      </c>
      <c r="E43">
        <f>D43*0.16</f>
        <v>2240</v>
      </c>
      <c r="F43">
        <v>5944.6756317761401</v>
      </c>
      <c r="G43" t="s">
        <v>208</v>
      </c>
    </row>
    <row r="44" spans="1:7">
      <c r="A44" t="s">
        <v>229</v>
      </c>
      <c r="B44">
        <v>311000986</v>
      </c>
      <c r="C44">
        <v>9188037</v>
      </c>
      <c r="D44">
        <v>31000</v>
      </c>
      <c r="E44">
        <f t="shared" ref="E44:E107" si="4">D44*0.16</f>
        <v>4960</v>
      </c>
      <c r="F44">
        <v>62735</v>
      </c>
      <c r="G44" t="s">
        <v>208</v>
      </c>
    </row>
    <row r="45" spans="1:7">
      <c r="A45" t="s">
        <v>107</v>
      </c>
      <c r="B45">
        <v>311000987</v>
      </c>
      <c r="C45">
        <v>9122552</v>
      </c>
      <c r="D45">
        <v>57700</v>
      </c>
      <c r="E45">
        <f t="shared" si="4"/>
        <v>9232</v>
      </c>
      <c r="F45">
        <v>6006.3733369910624</v>
      </c>
      <c r="G45" t="s">
        <v>208</v>
      </c>
    </row>
    <row r="46" spans="1:7">
      <c r="A46" t="s">
        <v>76</v>
      </c>
      <c r="B46">
        <v>309964000</v>
      </c>
      <c r="C46">
        <v>7218395</v>
      </c>
      <c r="D46">
        <v>14000</v>
      </c>
      <c r="E46">
        <f t="shared" si="4"/>
        <v>2240</v>
      </c>
      <c r="F46">
        <v>3630.3891563454922</v>
      </c>
      <c r="G46" t="s">
        <v>208</v>
      </c>
    </row>
    <row r="47" spans="1:7">
      <c r="A47" t="s">
        <v>230</v>
      </c>
      <c r="B47">
        <v>311541000</v>
      </c>
      <c r="C47">
        <v>9000699</v>
      </c>
      <c r="D47">
        <v>13120</v>
      </c>
      <c r="E47">
        <f t="shared" si="4"/>
        <v>2099.1999999999998</v>
      </c>
      <c r="F47">
        <v>24344</v>
      </c>
      <c r="G47" t="s">
        <v>208</v>
      </c>
    </row>
    <row r="48" spans="1:7">
      <c r="A48" t="s">
        <v>23</v>
      </c>
      <c r="B48">
        <v>311361000</v>
      </c>
      <c r="C48">
        <v>9195200</v>
      </c>
      <c r="D48">
        <v>20500</v>
      </c>
      <c r="E48">
        <f t="shared" si="4"/>
        <v>3280</v>
      </c>
      <c r="F48">
        <v>475.32849522652253</v>
      </c>
      <c r="G48" t="s">
        <v>208</v>
      </c>
    </row>
    <row r="49" spans="1:7">
      <c r="A49" t="s">
        <v>231</v>
      </c>
      <c r="B49">
        <v>311001167</v>
      </c>
      <c r="C49">
        <v>9870654</v>
      </c>
      <c r="D49">
        <v>48000</v>
      </c>
      <c r="E49">
        <f t="shared" si="4"/>
        <v>7680</v>
      </c>
      <c r="F49">
        <v>108232</v>
      </c>
      <c r="G49" t="s">
        <v>208</v>
      </c>
    </row>
    <row r="50" spans="1:7">
      <c r="A50" t="s">
        <v>26</v>
      </c>
      <c r="B50">
        <v>235106595</v>
      </c>
      <c r="C50">
        <v>9614036</v>
      </c>
      <c r="D50">
        <v>75600</v>
      </c>
      <c r="E50">
        <f t="shared" si="4"/>
        <v>12096</v>
      </c>
      <c r="F50">
        <v>10238.37840724888</v>
      </c>
      <c r="G50" t="s">
        <v>208</v>
      </c>
    </row>
    <row r="51" spans="1:7">
      <c r="A51" t="s">
        <v>232</v>
      </c>
      <c r="B51">
        <v>311061100</v>
      </c>
      <c r="C51">
        <v>8802870</v>
      </c>
      <c r="D51">
        <v>3520</v>
      </c>
      <c r="E51">
        <f t="shared" si="4"/>
        <v>563.20000000000005</v>
      </c>
      <c r="F51">
        <v>4200</v>
      </c>
      <c r="G51" t="s">
        <v>208</v>
      </c>
    </row>
    <row r="52" spans="1:7">
      <c r="A52" t="s">
        <v>233</v>
      </c>
      <c r="B52">
        <v>310423000</v>
      </c>
      <c r="C52">
        <v>9215490</v>
      </c>
      <c r="D52">
        <v>39840</v>
      </c>
      <c r="E52">
        <f t="shared" si="4"/>
        <v>6374.4000000000005</v>
      </c>
      <c r="F52">
        <v>112894</v>
      </c>
      <c r="G52" t="s">
        <v>208</v>
      </c>
    </row>
    <row r="53" spans="1:7">
      <c r="A53" t="s">
        <v>234</v>
      </c>
      <c r="B53">
        <v>354842000</v>
      </c>
      <c r="C53">
        <v>9555723</v>
      </c>
      <c r="D53">
        <v>75600</v>
      </c>
      <c r="E53">
        <f t="shared" si="4"/>
        <v>12096</v>
      </c>
      <c r="F53">
        <v>130000</v>
      </c>
      <c r="G53" t="s">
        <v>208</v>
      </c>
    </row>
    <row r="54" spans="1:7">
      <c r="A54" t="s">
        <v>235</v>
      </c>
      <c r="B54">
        <v>308017000</v>
      </c>
      <c r="C54">
        <v>9070058</v>
      </c>
      <c r="D54">
        <v>63360</v>
      </c>
      <c r="E54">
        <f t="shared" si="4"/>
        <v>10137.6</v>
      </c>
      <c r="F54">
        <v>101400</v>
      </c>
      <c r="G54" t="s">
        <v>208</v>
      </c>
    </row>
    <row r="55" spans="1:7">
      <c r="A55" t="s">
        <v>236</v>
      </c>
      <c r="B55">
        <v>371154000</v>
      </c>
      <c r="C55">
        <v>9333149</v>
      </c>
      <c r="D55">
        <v>75600</v>
      </c>
      <c r="E55">
        <f t="shared" si="4"/>
        <v>12096</v>
      </c>
      <c r="F55">
        <v>110320</v>
      </c>
      <c r="G55" t="s">
        <v>208</v>
      </c>
    </row>
    <row r="56" spans="1:7">
      <c r="A56" t="s">
        <v>108</v>
      </c>
      <c r="B56">
        <v>357659000</v>
      </c>
      <c r="C56">
        <v>9198367</v>
      </c>
      <c r="D56">
        <v>63400</v>
      </c>
      <c r="E56">
        <f t="shared" si="4"/>
        <v>10144</v>
      </c>
      <c r="F56">
        <v>7580.9807220698031</v>
      </c>
      <c r="G56" t="s">
        <v>208</v>
      </c>
    </row>
    <row r="57" spans="1:7">
      <c r="A57" t="s">
        <v>237</v>
      </c>
      <c r="B57">
        <v>370039000</v>
      </c>
      <c r="C57">
        <v>9767091</v>
      </c>
      <c r="D57">
        <v>62400</v>
      </c>
      <c r="E57">
        <f t="shared" si="4"/>
        <v>9984</v>
      </c>
      <c r="F57">
        <v>133500</v>
      </c>
      <c r="G57" t="s">
        <v>208</v>
      </c>
    </row>
    <row r="58" spans="1:7">
      <c r="A58" t="s">
        <v>109</v>
      </c>
      <c r="B58">
        <v>311001094</v>
      </c>
      <c r="C58">
        <v>9224726</v>
      </c>
      <c r="D58">
        <v>62370</v>
      </c>
      <c r="E58">
        <f t="shared" si="4"/>
        <v>9979.2000000000007</v>
      </c>
      <c r="F58">
        <v>6648.5229254895485</v>
      </c>
      <c r="G58" t="s">
        <v>208</v>
      </c>
    </row>
    <row r="59" spans="1:7">
      <c r="A59" t="s">
        <v>238</v>
      </c>
      <c r="B59">
        <v>370491000</v>
      </c>
      <c r="C59">
        <v>9378486</v>
      </c>
      <c r="D59">
        <v>75600</v>
      </c>
      <c r="E59">
        <f t="shared" si="4"/>
        <v>12096</v>
      </c>
      <c r="F59">
        <v>130000</v>
      </c>
      <c r="G59" t="s">
        <v>208</v>
      </c>
    </row>
    <row r="60" spans="1:7" ht="16.5" customHeight="1">
      <c r="A60" t="s">
        <v>239</v>
      </c>
      <c r="B60">
        <v>354215000</v>
      </c>
      <c r="C60">
        <v>9223954</v>
      </c>
      <c r="D60">
        <v>63370</v>
      </c>
      <c r="E60">
        <f t="shared" si="4"/>
        <v>10139.200000000001</v>
      </c>
      <c r="F60">
        <v>86071</v>
      </c>
      <c r="G60" t="s">
        <v>208</v>
      </c>
    </row>
    <row r="61" spans="1:7">
      <c r="A61" t="s">
        <v>240</v>
      </c>
      <c r="B61">
        <v>311001095</v>
      </c>
      <c r="C61">
        <v>9188647</v>
      </c>
      <c r="D61">
        <v>62370</v>
      </c>
      <c r="E61">
        <f t="shared" si="4"/>
        <v>9979.2000000000007</v>
      </c>
      <c r="F61">
        <v>85920</v>
      </c>
      <c r="G61" t="s">
        <v>208</v>
      </c>
    </row>
    <row r="62" spans="1:7">
      <c r="A62" t="s">
        <v>241</v>
      </c>
      <c r="B62">
        <v>308017000</v>
      </c>
      <c r="C62">
        <v>9070058</v>
      </c>
      <c r="D62">
        <v>63420</v>
      </c>
      <c r="E62">
        <f t="shared" si="4"/>
        <v>10147.200000000001</v>
      </c>
      <c r="F62">
        <v>103881</v>
      </c>
      <c r="G62" t="s">
        <v>208</v>
      </c>
    </row>
    <row r="63" spans="1:7">
      <c r="A63" t="s">
        <v>242</v>
      </c>
      <c r="B63">
        <v>354298000</v>
      </c>
      <c r="C63">
        <v>9236389</v>
      </c>
      <c r="D63">
        <v>63360</v>
      </c>
      <c r="E63">
        <f t="shared" si="4"/>
        <v>10137.6</v>
      </c>
      <c r="F63">
        <v>110438</v>
      </c>
      <c r="G63" t="s">
        <v>208</v>
      </c>
    </row>
    <row r="64" spans="1:7">
      <c r="A64" t="s">
        <v>243</v>
      </c>
      <c r="B64">
        <v>311001253</v>
      </c>
      <c r="C64">
        <v>9801689</v>
      </c>
      <c r="D64">
        <v>62400</v>
      </c>
      <c r="E64">
        <f t="shared" si="4"/>
        <v>9984</v>
      </c>
      <c r="F64">
        <v>135225</v>
      </c>
      <c r="G64" t="s">
        <v>208</v>
      </c>
    </row>
    <row r="65" spans="1:7">
      <c r="A65" t="s">
        <v>244</v>
      </c>
      <c r="B65" t="s">
        <v>210</v>
      </c>
      <c r="C65">
        <v>9692569</v>
      </c>
      <c r="D65">
        <v>62400</v>
      </c>
      <c r="E65">
        <f t="shared" si="4"/>
        <v>9984</v>
      </c>
      <c r="F65">
        <v>133596</v>
      </c>
      <c r="G65" t="s">
        <v>208</v>
      </c>
    </row>
    <row r="66" spans="1:7">
      <c r="A66" t="s">
        <v>110</v>
      </c>
      <c r="B66">
        <v>215105000</v>
      </c>
      <c r="C66">
        <v>9838383</v>
      </c>
      <c r="D66">
        <f>2*9600+2*14400+6960</f>
        <v>54960</v>
      </c>
      <c r="E66">
        <f t="shared" si="4"/>
        <v>8793.6</v>
      </c>
      <c r="F66">
        <v>8416.9305966828342</v>
      </c>
      <c r="G66" t="s">
        <v>208</v>
      </c>
    </row>
    <row r="67" spans="1:7">
      <c r="A67" t="s">
        <v>111</v>
      </c>
      <c r="B67">
        <v>256191000</v>
      </c>
      <c r="C67">
        <v>9838400</v>
      </c>
      <c r="D67">
        <v>8791.3191768759625</v>
      </c>
      <c r="E67">
        <f t="shared" si="4"/>
        <v>1406.6110683001541</v>
      </c>
      <c r="F67">
        <v>8791.3191768759625</v>
      </c>
      <c r="G67" t="s">
        <v>208</v>
      </c>
    </row>
    <row r="68" spans="1:7">
      <c r="A68" t="s">
        <v>245</v>
      </c>
      <c r="B68">
        <v>215808000</v>
      </c>
      <c r="C68">
        <v>9838395</v>
      </c>
      <c r="D68">
        <v>67200</v>
      </c>
      <c r="E68">
        <f t="shared" si="4"/>
        <v>10752</v>
      </c>
      <c r="F68">
        <v>141420</v>
      </c>
      <c r="G68" t="s">
        <v>208</v>
      </c>
    </row>
    <row r="69" spans="1:7">
      <c r="A69" t="s">
        <v>37</v>
      </c>
      <c r="B69">
        <v>249046000</v>
      </c>
      <c r="C69">
        <v>9192399</v>
      </c>
      <c r="D69">
        <v>50000</v>
      </c>
      <c r="E69">
        <f t="shared" si="4"/>
        <v>8000</v>
      </c>
      <c r="F69">
        <v>13035.273135326062</v>
      </c>
      <c r="G69" t="s">
        <v>208</v>
      </c>
    </row>
    <row r="70" spans="1:7">
      <c r="A70" t="s">
        <v>246</v>
      </c>
      <c r="B70">
        <v>249666000</v>
      </c>
      <c r="C70">
        <v>9404314</v>
      </c>
      <c r="D70">
        <v>67200</v>
      </c>
      <c r="E70">
        <f t="shared" si="4"/>
        <v>10752</v>
      </c>
      <c r="F70">
        <v>121878</v>
      </c>
      <c r="G70" t="s">
        <v>208</v>
      </c>
    </row>
    <row r="71" spans="1:7">
      <c r="A71" t="s">
        <v>247</v>
      </c>
      <c r="B71">
        <v>248325000</v>
      </c>
      <c r="C71">
        <v>9812705</v>
      </c>
      <c r="D71">
        <v>67200</v>
      </c>
      <c r="E71">
        <f t="shared" si="4"/>
        <v>10752</v>
      </c>
      <c r="F71">
        <v>122000</v>
      </c>
      <c r="G71" t="s">
        <v>208</v>
      </c>
    </row>
    <row r="72" spans="1:7">
      <c r="A72" t="s">
        <v>112</v>
      </c>
      <c r="B72">
        <v>249667000</v>
      </c>
      <c r="C72">
        <v>9372456</v>
      </c>
      <c r="D72">
        <v>62400</v>
      </c>
      <c r="E72">
        <f t="shared" si="4"/>
        <v>9984</v>
      </c>
      <c r="F72">
        <v>8064.9343540396076</v>
      </c>
      <c r="G72" t="s">
        <v>208</v>
      </c>
    </row>
    <row r="73" spans="1:7">
      <c r="A73" t="s">
        <v>113</v>
      </c>
      <c r="B73">
        <v>249048000</v>
      </c>
      <c r="C73">
        <v>9189421</v>
      </c>
      <c r="D73">
        <v>50000</v>
      </c>
      <c r="E73">
        <f t="shared" si="4"/>
        <v>8000</v>
      </c>
      <c r="F73">
        <v>6758.5498123824291</v>
      </c>
      <c r="G73" t="s">
        <v>208</v>
      </c>
    </row>
    <row r="74" spans="1:7">
      <c r="A74" t="s">
        <v>51</v>
      </c>
      <c r="B74">
        <v>229074000</v>
      </c>
      <c r="C74">
        <v>9506459</v>
      </c>
      <c r="D74">
        <v>75600</v>
      </c>
      <c r="E74">
        <f t="shared" si="4"/>
        <v>12096</v>
      </c>
      <c r="F74">
        <v>14017.952235645645</v>
      </c>
      <c r="G74" t="s">
        <v>208</v>
      </c>
    </row>
    <row r="75" spans="1:7">
      <c r="A75" t="s">
        <v>52</v>
      </c>
      <c r="B75">
        <v>248939000</v>
      </c>
      <c r="C75">
        <v>9451094</v>
      </c>
      <c r="D75">
        <v>41</v>
      </c>
      <c r="E75">
        <f t="shared" si="4"/>
        <v>6.5600000000000005</v>
      </c>
      <c r="F75">
        <v>8789.8038965150736</v>
      </c>
      <c r="G75" t="s">
        <v>208</v>
      </c>
    </row>
    <row r="76" spans="1:7">
      <c r="A76" t="s">
        <v>248</v>
      </c>
      <c r="B76">
        <v>229001000</v>
      </c>
      <c r="C76">
        <v>7827213</v>
      </c>
      <c r="D76">
        <v>19124</v>
      </c>
      <c r="E76">
        <f t="shared" si="4"/>
        <v>3059.84</v>
      </c>
      <c r="F76">
        <v>25611</v>
      </c>
      <c r="G76" t="s">
        <v>208</v>
      </c>
    </row>
    <row r="77" spans="1:7">
      <c r="A77" t="s">
        <v>249</v>
      </c>
      <c r="B77">
        <v>229051000</v>
      </c>
      <c r="C77">
        <v>7927984</v>
      </c>
      <c r="D77">
        <v>17060</v>
      </c>
      <c r="E77">
        <f t="shared" si="4"/>
        <v>2729.6</v>
      </c>
      <c r="F77">
        <v>37584</v>
      </c>
      <c r="G77" t="s">
        <v>208</v>
      </c>
    </row>
    <row r="78" spans="1:7">
      <c r="A78" t="s">
        <v>114</v>
      </c>
      <c r="B78">
        <v>248383000</v>
      </c>
      <c r="C78">
        <v>8963818</v>
      </c>
      <c r="D78">
        <f>2*2069+3*476+176</f>
        <v>5742</v>
      </c>
      <c r="E78">
        <f t="shared" si="4"/>
        <v>918.72</v>
      </c>
      <c r="F78">
        <v>189.0292474582659</v>
      </c>
      <c r="G78" t="s">
        <v>208</v>
      </c>
    </row>
    <row r="79" spans="1:7">
      <c r="A79" t="s">
        <v>96</v>
      </c>
      <c r="B79">
        <v>249596000</v>
      </c>
      <c r="C79">
        <v>9159830</v>
      </c>
      <c r="D79">
        <v>2970</v>
      </c>
      <c r="E79">
        <f t="shared" si="4"/>
        <v>475.2</v>
      </c>
      <c r="F79">
        <v>5300.1880642122278</v>
      </c>
      <c r="G79" t="s">
        <v>208</v>
      </c>
    </row>
    <row r="80" spans="1:7">
      <c r="A80" t="s">
        <v>78</v>
      </c>
      <c r="B80">
        <v>227194000</v>
      </c>
      <c r="C80">
        <v>9007491</v>
      </c>
      <c r="D80">
        <v>1774.9549494783289</v>
      </c>
      <c r="E80">
        <f t="shared" si="4"/>
        <v>283.99279191653261</v>
      </c>
      <c r="F80">
        <v>1774.9549494783289</v>
      </c>
      <c r="G80" t="s">
        <v>208</v>
      </c>
    </row>
    <row r="81" spans="1:7">
      <c r="A81" t="s">
        <v>250</v>
      </c>
      <c r="B81">
        <v>538001663</v>
      </c>
      <c r="C81">
        <v>9156462</v>
      </c>
      <c r="D81">
        <v>13500</v>
      </c>
      <c r="E81">
        <f t="shared" si="4"/>
        <v>2160</v>
      </c>
      <c r="F81">
        <v>30277</v>
      </c>
      <c r="G81" t="s">
        <v>209</v>
      </c>
    </row>
    <row r="82" spans="1:7">
      <c r="A82" t="s">
        <v>251</v>
      </c>
      <c r="B82">
        <v>310376000</v>
      </c>
      <c r="C82">
        <v>9229659</v>
      </c>
      <c r="D82">
        <v>33600</v>
      </c>
      <c r="E82">
        <f t="shared" si="4"/>
        <v>5376</v>
      </c>
      <c r="F82">
        <v>91627</v>
      </c>
      <c r="G82" t="s">
        <v>208</v>
      </c>
    </row>
    <row r="83" spans="1:7">
      <c r="A83" t="s">
        <v>97</v>
      </c>
      <c r="B83">
        <v>249556000</v>
      </c>
      <c r="C83">
        <v>8708672</v>
      </c>
      <c r="D83">
        <v>7771.1037006000743</v>
      </c>
      <c r="E83">
        <f t="shared" si="4"/>
        <v>1243.376592096012</v>
      </c>
      <c r="F83">
        <v>7771.1037006000743</v>
      </c>
      <c r="G83" t="s">
        <v>208</v>
      </c>
    </row>
    <row r="84" spans="1:7">
      <c r="A84" t="s">
        <v>252</v>
      </c>
      <c r="B84">
        <v>311000253</v>
      </c>
      <c r="C84">
        <v>8802882</v>
      </c>
      <c r="D84">
        <v>3520</v>
      </c>
      <c r="E84">
        <f t="shared" si="4"/>
        <v>563.20000000000005</v>
      </c>
      <c r="F84">
        <v>4077</v>
      </c>
      <c r="G84" t="s">
        <v>208</v>
      </c>
    </row>
    <row r="85" spans="1:7">
      <c r="A85" t="s">
        <v>253</v>
      </c>
      <c r="B85">
        <v>247645000</v>
      </c>
      <c r="C85">
        <v>9187796</v>
      </c>
      <c r="D85">
        <v>62370</v>
      </c>
      <c r="E85">
        <f t="shared" si="4"/>
        <v>9979.2000000000007</v>
      </c>
      <c r="F85">
        <v>85700</v>
      </c>
      <c r="G85" t="s">
        <v>208</v>
      </c>
    </row>
    <row r="86" spans="1:7">
      <c r="A86" t="s">
        <v>254</v>
      </c>
      <c r="B86">
        <v>311000969</v>
      </c>
      <c r="C86">
        <v>8716502</v>
      </c>
      <c r="D86" s="5">
        <v>22000</v>
      </c>
      <c r="E86" s="3">
        <f t="shared" si="4"/>
        <v>3520</v>
      </c>
      <c r="F86">
        <v>53000</v>
      </c>
      <c r="G86" t="s">
        <v>208</v>
      </c>
    </row>
    <row r="87" spans="1:7">
      <c r="A87" t="s">
        <v>255</v>
      </c>
      <c r="B87">
        <v>247158500</v>
      </c>
      <c r="C87">
        <v>9320544</v>
      </c>
      <c r="D87">
        <v>76640</v>
      </c>
      <c r="E87">
        <f>D87*0.16</f>
        <v>12262.4</v>
      </c>
      <c r="F87" s="8">
        <v>114147</v>
      </c>
      <c r="G87" t="s">
        <v>208</v>
      </c>
    </row>
    <row r="88" spans="1:7">
      <c r="A88" t="s">
        <v>115</v>
      </c>
      <c r="B88">
        <v>247282900</v>
      </c>
      <c r="C88">
        <v>9398917</v>
      </c>
      <c r="D88">
        <v>64000</v>
      </c>
      <c r="E88">
        <f t="shared" si="4"/>
        <v>10240</v>
      </c>
      <c r="F88">
        <v>6838.0782701552407</v>
      </c>
      <c r="G88" t="s">
        <v>208</v>
      </c>
    </row>
    <row r="89" spans="1:7">
      <c r="A89" t="s">
        <v>64</v>
      </c>
      <c r="B89">
        <v>247353700</v>
      </c>
      <c r="C89">
        <v>9636888</v>
      </c>
      <c r="D89">
        <v>75600</v>
      </c>
      <c r="E89">
        <f t="shared" si="4"/>
        <v>12096</v>
      </c>
      <c r="F89">
        <v>3818.9223135704374</v>
      </c>
      <c r="G89" t="s">
        <v>208</v>
      </c>
    </row>
    <row r="90" spans="1:7">
      <c r="A90" t="s">
        <v>28</v>
      </c>
      <c r="B90">
        <v>247313500</v>
      </c>
      <c r="C90">
        <v>9479864</v>
      </c>
      <c r="D90">
        <v>36000</v>
      </c>
      <c r="E90">
        <f t="shared" si="4"/>
        <v>5760</v>
      </c>
      <c r="F90">
        <v>9510.1296745571599</v>
      </c>
      <c r="G90" t="s">
        <v>208</v>
      </c>
    </row>
    <row r="91" spans="1:7">
      <c r="A91" t="s">
        <v>50</v>
      </c>
      <c r="B91">
        <v>247311100</v>
      </c>
      <c r="C91">
        <v>9479852</v>
      </c>
      <c r="D91">
        <v>75600</v>
      </c>
      <c r="E91">
        <f t="shared" si="4"/>
        <v>12096</v>
      </c>
      <c r="F91">
        <v>11882.143367205361</v>
      </c>
      <c r="G91" t="s">
        <v>208</v>
      </c>
    </row>
    <row r="92" spans="1:7">
      <c r="A92" t="s">
        <v>116</v>
      </c>
      <c r="B92">
        <v>352003546</v>
      </c>
      <c r="C92">
        <v>9801691</v>
      </c>
      <c r="D92">
        <v>33000</v>
      </c>
      <c r="E92">
        <f t="shared" si="4"/>
        <v>5280</v>
      </c>
      <c r="F92">
        <v>8597.4621280685642</v>
      </c>
      <c r="G92" t="s">
        <v>208</v>
      </c>
    </row>
    <row r="93" spans="1:7">
      <c r="A93" t="s">
        <v>117</v>
      </c>
      <c r="B93">
        <v>247094800</v>
      </c>
      <c r="C93">
        <v>9239783</v>
      </c>
      <c r="D93">
        <v>63360</v>
      </c>
      <c r="E93">
        <f t="shared" si="4"/>
        <v>10137.6</v>
      </c>
      <c r="F93">
        <v>7268.4051554455727</v>
      </c>
      <c r="G93" t="s">
        <v>208</v>
      </c>
    </row>
    <row r="94" spans="1:7">
      <c r="A94" t="s">
        <v>185</v>
      </c>
      <c r="B94">
        <v>247257900</v>
      </c>
      <c r="C94">
        <v>9398905</v>
      </c>
      <c r="D94">
        <v>64000</v>
      </c>
      <c r="E94">
        <f t="shared" si="4"/>
        <v>10240</v>
      </c>
      <c r="F94">
        <v>3773.4714659179913</v>
      </c>
      <c r="G94" t="s">
        <v>208</v>
      </c>
    </row>
    <row r="95" spans="1:7">
      <c r="A95" t="s">
        <v>202</v>
      </c>
      <c r="B95">
        <v>247113300</v>
      </c>
      <c r="C95">
        <v>9239795</v>
      </c>
      <c r="D95">
        <v>64610</v>
      </c>
      <c r="E95">
        <f t="shared" si="4"/>
        <v>10337.6</v>
      </c>
      <c r="F95">
        <v>5780.5800059297808</v>
      </c>
      <c r="G95" t="s">
        <v>208</v>
      </c>
    </row>
    <row r="96" spans="1:7">
      <c r="A96" t="s">
        <v>49</v>
      </c>
      <c r="B96">
        <v>247088200</v>
      </c>
      <c r="C96">
        <v>9237345</v>
      </c>
      <c r="D96">
        <v>35.200000000000003</v>
      </c>
      <c r="E96">
        <f t="shared" si="4"/>
        <v>5.6320000000000006</v>
      </c>
      <c r="F96">
        <v>6764.9443607183466</v>
      </c>
      <c r="G96" t="s">
        <v>208</v>
      </c>
    </row>
    <row r="97" spans="1:7">
      <c r="A97" t="s">
        <v>256</v>
      </c>
      <c r="B97">
        <v>311000969</v>
      </c>
      <c r="C97">
        <v>8716502</v>
      </c>
      <c r="D97">
        <v>21184</v>
      </c>
      <c r="E97">
        <f t="shared" si="4"/>
        <v>3389.44</v>
      </c>
      <c r="F97">
        <v>53000</v>
      </c>
      <c r="G97" t="s">
        <v>208</v>
      </c>
    </row>
    <row r="98" spans="1:7">
      <c r="A98" t="s">
        <v>257</v>
      </c>
      <c r="B98">
        <v>247325300</v>
      </c>
      <c r="C98">
        <v>9172777</v>
      </c>
      <c r="D98">
        <v>31680</v>
      </c>
      <c r="E98">
        <f t="shared" si="4"/>
        <v>5068.8</v>
      </c>
      <c r="F98">
        <v>48200</v>
      </c>
      <c r="G98" t="s">
        <v>208</v>
      </c>
    </row>
    <row r="99" spans="1:7">
      <c r="A99" t="s">
        <v>258</v>
      </c>
      <c r="B99">
        <v>210038000</v>
      </c>
      <c r="C99">
        <v>8821046</v>
      </c>
      <c r="D99">
        <v>22800</v>
      </c>
      <c r="E99">
        <f t="shared" si="4"/>
        <v>3648</v>
      </c>
      <c r="F99">
        <v>56500</v>
      </c>
      <c r="G99" t="s">
        <v>208</v>
      </c>
    </row>
    <row r="100" spans="1:7">
      <c r="A100" t="s">
        <v>27</v>
      </c>
      <c r="B100">
        <v>247258100</v>
      </c>
      <c r="C100">
        <v>9378498</v>
      </c>
      <c r="D100">
        <v>75600</v>
      </c>
      <c r="E100">
        <f t="shared" si="4"/>
        <v>12096</v>
      </c>
      <c r="F100">
        <v>8796.4837579723717</v>
      </c>
      <c r="G100" t="s">
        <v>208</v>
      </c>
    </row>
    <row r="101" spans="1:7">
      <c r="A101" t="s">
        <v>259</v>
      </c>
      <c r="B101">
        <v>247187600</v>
      </c>
      <c r="C101">
        <v>9343132</v>
      </c>
      <c r="D101">
        <v>75600</v>
      </c>
      <c r="E101">
        <f t="shared" si="4"/>
        <v>12096</v>
      </c>
      <c r="F101">
        <v>114147</v>
      </c>
      <c r="G101" t="s">
        <v>208</v>
      </c>
    </row>
    <row r="102" spans="1:7">
      <c r="A102" t="s">
        <v>118</v>
      </c>
      <c r="B102">
        <v>247391900</v>
      </c>
      <c r="C102">
        <v>9781889</v>
      </c>
      <c r="D102">
        <v>37000</v>
      </c>
      <c r="E102">
        <f t="shared" si="4"/>
        <v>5920</v>
      </c>
      <c r="F102">
        <v>10375.217549909388</v>
      </c>
      <c r="G102" t="s">
        <v>209</v>
      </c>
    </row>
    <row r="103" spans="1:7">
      <c r="A103" t="s">
        <v>119</v>
      </c>
      <c r="B103">
        <v>247431200</v>
      </c>
      <c r="C103">
        <v>9781891</v>
      </c>
      <c r="D103">
        <v>64000</v>
      </c>
      <c r="E103">
        <f t="shared" si="4"/>
        <v>10240</v>
      </c>
      <c r="F103">
        <v>10375.217549909388</v>
      </c>
      <c r="G103" t="s">
        <v>209</v>
      </c>
    </row>
    <row r="104" spans="1:7">
      <c r="A104" t="s">
        <v>260</v>
      </c>
      <c r="B104">
        <v>247109000</v>
      </c>
      <c r="C104">
        <v>9109031</v>
      </c>
      <c r="D104">
        <v>50700</v>
      </c>
      <c r="E104">
        <f t="shared" si="4"/>
        <v>8112</v>
      </c>
      <c r="F104">
        <v>75166</v>
      </c>
      <c r="G104" t="s">
        <v>208</v>
      </c>
    </row>
    <row r="105" spans="1:7">
      <c r="A105" t="s">
        <v>261</v>
      </c>
      <c r="B105">
        <v>636017800</v>
      </c>
      <c r="C105">
        <v>9183506</v>
      </c>
      <c r="D105">
        <v>37800</v>
      </c>
      <c r="E105">
        <f t="shared" si="4"/>
        <v>6048</v>
      </c>
      <c r="F105">
        <v>24400</v>
      </c>
      <c r="G105" t="s">
        <v>208</v>
      </c>
    </row>
    <row r="106" spans="1:7">
      <c r="A106" t="s">
        <v>61</v>
      </c>
      <c r="B106">
        <v>310500000</v>
      </c>
      <c r="C106">
        <v>9293399</v>
      </c>
      <c r="D106">
        <v>1129.0155698418562</v>
      </c>
      <c r="E106">
        <f t="shared" si="4"/>
        <v>180.642491174697</v>
      </c>
      <c r="F106">
        <v>1129.0155698418562</v>
      </c>
      <c r="G106" t="s">
        <v>208</v>
      </c>
    </row>
    <row r="107" spans="1:7">
      <c r="A107" t="s">
        <v>262</v>
      </c>
      <c r="B107">
        <v>311000506</v>
      </c>
      <c r="C107">
        <v>8705266</v>
      </c>
      <c r="D107">
        <v>3356</v>
      </c>
      <c r="E107">
        <f t="shared" si="4"/>
        <v>536.96</v>
      </c>
      <c r="F107">
        <v>3370</v>
      </c>
      <c r="G107" t="s">
        <v>208</v>
      </c>
    </row>
    <row r="108" spans="1:7">
      <c r="A108" t="s">
        <v>263</v>
      </c>
      <c r="B108">
        <v>311536000</v>
      </c>
      <c r="C108">
        <v>9243667</v>
      </c>
      <c r="D108">
        <v>52197</v>
      </c>
      <c r="E108">
        <f t="shared" ref="E108:E169" si="5">D108*0.16</f>
        <v>8351.52</v>
      </c>
      <c r="F108">
        <v>68870</v>
      </c>
      <c r="G108" t="s">
        <v>208</v>
      </c>
    </row>
    <row r="109" spans="1:7">
      <c r="A109" t="s">
        <v>85</v>
      </c>
      <c r="B109">
        <v>309168000</v>
      </c>
      <c r="C109">
        <v>9066667</v>
      </c>
      <c r="D109">
        <v>25260</v>
      </c>
      <c r="E109">
        <f t="shared" si="5"/>
        <v>4041.6</v>
      </c>
      <c r="F109">
        <v>3520.6897439322879</v>
      </c>
      <c r="G109" t="s">
        <v>208</v>
      </c>
    </row>
    <row r="110" spans="1:7">
      <c r="A110" t="s">
        <v>264</v>
      </c>
      <c r="B110">
        <v>226242000</v>
      </c>
      <c r="C110">
        <v>9230476</v>
      </c>
      <c r="D110">
        <v>37800</v>
      </c>
      <c r="E110">
        <f t="shared" si="5"/>
        <v>6048</v>
      </c>
      <c r="F110">
        <v>43784</v>
      </c>
      <c r="G110" t="s">
        <v>208</v>
      </c>
    </row>
    <row r="111" spans="1:7">
      <c r="A111" t="s">
        <v>265</v>
      </c>
      <c r="B111">
        <v>232006603</v>
      </c>
      <c r="C111">
        <v>9103996</v>
      </c>
      <c r="D111">
        <v>46080</v>
      </c>
      <c r="E111">
        <f t="shared" si="5"/>
        <v>7372.8</v>
      </c>
      <c r="F111">
        <v>77441</v>
      </c>
      <c r="G111" t="s">
        <v>208</v>
      </c>
    </row>
    <row r="112" spans="1:7">
      <c r="A112" t="s">
        <v>266</v>
      </c>
      <c r="B112">
        <v>311067500</v>
      </c>
      <c r="C112">
        <v>7347536</v>
      </c>
      <c r="D112">
        <v>13240</v>
      </c>
      <c r="E112">
        <f t="shared" si="5"/>
        <v>2118.4</v>
      </c>
      <c r="F112">
        <v>2545</v>
      </c>
      <c r="G112" t="s">
        <v>208</v>
      </c>
    </row>
    <row r="113" spans="1:7">
      <c r="A113" t="s">
        <v>267</v>
      </c>
      <c r="B113">
        <v>311000410</v>
      </c>
      <c r="C113">
        <v>9141807</v>
      </c>
      <c r="D113">
        <v>12320</v>
      </c>
      <c r="E113">
        <f t="shared" si="5"/>
        <v>1971.2</v>
      </c>
      <c r="F113">
        <v>22496</v>
      </c>
      <c r="G113" t="s">
        <v>208</v>
      </c>
    </row>
    <row r="114" spans="1:7">
      <c r="A114" t="s">
        <v>268</v>
      </c>
      <c r="B114">
        <v>341683000</v>
      </c>
      <c r="C114">
        <v>7108514</v>
      </c>
      <c r="D114">
        <v>27150</v>
      </c>
      <c r="E114">
        <f t="shared" si="5"/>
        <v>4344</v>
      </c>
      <c r="F114">
        <v>145281</v>
      </c>
      <c r="G114" t="s">
        <v>380</v>
      </c>
    </row>
    <row r="115" spans="1:7">
      <c r="A115" t="s">
        <v>120</v>
      </c>
      <c r="B115">
        <v>311042900</v>
      </c>
      <c r="C115">
        <v>9434254</v>
      </c>
      <c r="D115">
        <v>76800</v>
      </c>
      <c r="E115">
        <f t="shared" si="5"/>
        <v>12288</v>
      </c>
      <c r="F115">
        <v>8373.0555720377997</v>
      </c>
      <c r="G115" t="s">
        <v>208</v>
      </c>
    </row>
    <row r="116" spans="1:7">
      <c r="A116" t="s">
        <v>269</v>
      </c>
      <c r="B116">
        <v>311058700</v>
      </c>
      <c r="C116">
        <v>9445590</v>
      </c>
      <c r="D116">
        <v>76800</v>
      </c>
      <c r="E116">
        <f t="shared" si="5"/>
        <v>12288</v>
      </c>
      <c r="F116">
        <v>129750</v>
      </c>
      <c r="G116" t="s">
        <v>208</v>
      </c>
    </row>
    <row r="117" spans="1:7">
      <c r="A117" t="s">
        <v>59</v>
      </c>
      <c r="B117">
        <v>308516000</v>
      </c>
      <c r="C117">
        <v>9126807</v>
      </c>
      <c r="D117">
        <v>43000</v>
      </c>
      <c r="E117">
        <f t="shared" si="5"/>
        <v>6880</v>
      </c>
      <c r="F117">
        <v>7559.9543638695986</v>
      </c>
      <c r="G117" t="s">
        <v>208</v>
      </c>
    </row>
    <row r="118" spans="1:7">
      <c r="A118" t="s">
        <v>270</v>
      </c>
      <c r="B118">
        <v>310531000</v>
      </c>
      <c r="C118">
        <v>9333151</v>
      </c>
      <c r="D118">
        <v>67200</v>
      </c>
      <c r="E118">
        <f t="shared" si="5"/>
        <v>10752</v>
      </c>
      <c r="F118">
        <v>113561</v>
      </c>
      <c r="G118" t="s">
        <v>208</v>
      </c>
    </row>
    <row r="119" spans="1:7">
      <c r="A119" t="s">
        <v>121</v>
      </c>
      <c r="B119">
        <v>311001261</v>
      </c>
      <c r="C119">
        <v>9948827</v>
      </c>
      <c r="D119">
        <v>1178.6954032930805</v>
      </c>
      <c r="E119">
        <f t="shared" si="5"/>
        <v>188.5912645268929</v>
      </c>
      <c r="F119">
        <v>1178.6954032930805</v>
      </c>
      <c r="G119" t="s">
        <v>208</v>
      </c>
    </row>
    <row r="120" spans="1:7">
      <c r="A120" t="s">
        <v>271</v>
      </c>
      <c r="B120">
        <v>310791000</v>
      </c>
      <c r="C120">
        <v>9807126</v>
      </c>
      <c r="D120">
        <v>62400</v>
      </c>
      <c r="E120">
        <f t="shared" si="5"/>
        <v>9984</v>
      </c>
      <c r="F120">
        <v>145281</v>
      </c>
      <c r="G120" t="s">
        <v>208</v>
      </c>
    </row>
    <row r="121" spans="1:7">
      <c r="A121" t="s">
        <v>272</v>
      </c>
      <c r="B121">
        <v>311733000</v>
      </c>
      <c r="C121">
        <v>9111802</v>
      </c>
      <c r="D121">
        <v>12600</v>
      </c>
      <c r="E121">
        <f t="shared" si="5"/>
        <v>2016</v>
      </c>
      <c r="F121">
        <v>82910</v>
      </c>
      <c r="G121" t="s">
        <v>208</v>
      </c>
    </row>
    <row r="122" spans="1:7">
      <c r="A122" t="s">
        <v>273</v>
      </c>
      <c r="B122">
        <v>245206000</v>
      </c>
      <c r="C122">
        <v>9378448</v>
      </c>
      <c r="D122">
        <v>64000</v>
      </c>
      <c r="E122">
        <f t="shared" si="5"/>
        <v>10240</v>
      </c>
      <c r="F122">
        <v>86273</v>
      </c>
      <c r="G122" t="s">
        <v>208</v>
      </c>
    </row>
    <row r="123" spans="1:7">
      <c r="A123" t="s">
        <v>77</v>
      </c>
      <c r="B123">
        <v>215767000</v>
      </c>
      <c r="C123">
        <v>9183855</v>
      </c>
      <c r="D123">
        <v>4861.6955817690186</v>
      </c>
      <c r="E123">
        <f t="shared" si="5"/>
        <v>777.87129308304304</v>
      </c>
      <c r="F123">
        <v>4861.6955817690186</v>
      </c>
      <c r="G123" t="s">
        <v>208</v>
      </c>
    </row>
    <row r="124" spans="1:7">
      <c r="A124" t="s">
        <v>66</v>
      </c>
      <c r="B124">
        <v>229378000</v>
      </c>
      <c r="C124">
        <v>9616230</v>
      </c>
      <c r="D124">
        <v>8654.3456065593709</v>
      </c>
      <c r="E124">
        <f t="shared" si="5"/>
        <v>1384.6952970494995</v>
      </c>
      <c r="F124">
        <v>8654.3456065593709</v>
      </c>
      <c r="G124" t="s">
        <v>208</v>
      </c>
    </row>
    <row r="125" spans="1:7">
      <c r="A125" t="s">
        <v>122</v>
      </c>
      <c r="B125">
        <v>215001000</v>
      </c>
      <c r="C125">
        <v>9823687</v>
      </c>
      <c r="D125">
        <v>15000</v>
      </c>
      <c r="E125">
        <f t="shared" si="5"/>
        <v>2400</v>
      </c>
      <c r="F125">
        <v>3211.2475925491053</v>
      </c>
      <c r="G125" t="s">
        <v>208</v>
      </c>
    </row>
    <row r="126" spans="1:7">
      <c r="A126" t="s">
        <v>123</v>
      </c>
      <c r="B126">
        <v>256389000</v>
      </c>
      <c r="C126">
        <v>9869875</v>
      </c>
      <c r="D126">
        <v>5462.1632339352509</v>
      </c>
      <c r="E126">
        <f t="shared" si="5"/>
        <v>873.94611742964014</v>
      </c>
      <c r="F126">
        <v>5462.1632339352509</v>
      </c>
      <c r="G126" t="s">
        <v>208</v>
      </c>
    </row>
    <row r="127" spans="1:7">
      <c r="A127" t="s">
        <v>124</v>
      </c>
      <c r="B127">
        <v>256798000</v>
      </c>
      <c r="C127">
        <v>9869887</v>
      </c>
      <c r="D127">
        <v>5462.1632339352509</v>
      </c>
      <c r="E127">
        <f t="shared" si="5"/>
        <v>873.94611742964014</v>
      </c>
      <c r="F127">
        <v>5462.1632339352509</v>
      </c>
      <c r="G127" t="s">
        <v>208</v>
      </c>
    </row>
    <row r="128" spans="1:7">
      <c r="A128" t="s">
        <v>274</v>
      </c>
      <c r="B128">
        <v>636020005</v>
      </c>
      <c r="C128">
        <v>9183518</v>
      </c>
      <c r="D128">
        <v>29250</v>
      </c>
      <c r="E128">
        <f t="shared" si="5"/>
        <v>4680</v>
      </c>
      <c r="F128">
        <v>8228</v>
      </c>
      <c r="G128" t="s">
        <v>380</v>
      </c>
    </row>
    <row r="129" spans="1:7">
      <c r="A129" t="s">
        <v>125</v>
      </c>
      <c r="B129">
        <v>311316000</v>
      </c>
      <c r="C129">
        <v>9161728</v>
      </c>
      <c r="D129">
        <v>42000</v>
      </c>
      <c r="E129">
        <f t="shared" si="5"/>
        <v>6720</v>
      </c>
      <c r="F129">
        <v>8666.5120862945423</v>
      </c>
      <c r="G129" t="s">
        <v>208</v>
      </c>
    </row>
    <row r="130" spans="1:7">
      <c r="A130" t="s">
        <v>44</v>
      </c>
      <c r="B130">
        <v>309906000</v>
      </c>
      <c r="C130">
        <v>9304033</v>
      </c>
      <c r="D130">
        <v>75600</v>
      </c>
      <c r="E130">
        <f t="shared" si="5"/>
        <v>12096</v>
      </c>
      <c r="F130">
        <v>10053.758507975128</v>
      </c>
      <c r="G130" t="s">
        <v>208</v>
      </c>
    </row>
    <row r="131" spans="1:7">
      <c r="A131" t="s">
        <v>275</v>
      </c>
      <c r="B131">
        <v>311000998</v>
      </c>
      <c r="C131">
        <v>7904889</v>
      </c>
      <c r="D131">
        <v>7060</v>
      </c>
      <c r="E131">
        <f t="shared" si="5"/>
        <v>1129.6000000000001</v>
      </c>
      <c r="F131">
        <v>9570</v>
      </c>
      <c r="G131" t="s">
        <v>380</v>
      </c>
    </row>
    <row r="132" spans="1:7">
      <c r="A132" t="s">
        <v>276</v>
      </c>
      <c r="B132">
        <v>371771000</v>
      </c>
      <c r="C132">
        <v>7358573</v>
      </c>
      <c r="D132">
        <v>15447</v>
      </c>
      <c r="E132">
        <f t="shared" si="5"/>
        <v>2471.52</v>
      </c>
      <c r="F132">
        <v>16900</v>
      </c>
      <c r="G132" t="s">
        <v>208</v>
      </c>
    </row>
    <row r="133" spans="1:7" s="6" customFormat="1">
      <c r="A133" t="s">
        <v>277</v>
      </c>
      <c r="B133">
        <v>311000328</v>
      </c>
      <c r="C133">
        <v>8314134</v>
      </c>
      <c r="D133">
        <v>23510</v>
      </c>
      <c r="E133">
        <f t="shared" si="5"/>
        <v>3761.6</v>
      </c>
      <c r="F133">
        <v>47262</v>
      </c>
      <c r="G133" t="s">
        <v>209</v>
      </c>
    </row>
    <row r="134" spans="1:7">
      <c r="A134" t="s">
        <v>278</v>
      </c>
      <c r="B134">
        <v>311000343</v>
      </c>
      <c r="C134">
        <v>8217881</v>
      </c>
      <c r="D134">
        <v>23518</v>
      </c>
      <c r="E134">
        <f t="shared" si="5"/>
        <v>3762.88</v>
      </c>
      <c r="F134">
        <v>47262</v>
      </c>
      <c r="G134" t="s">
        <v>208</v>
      </c>
    </row>
    <row r="135" spans="1:7">
      <c r="A135" t="s">
        <v>279</v>
      </c>
      <c r="B135">
        <v>310327000</v>
      </c>
      <c r="C135">
        <v>9104005</v>
      </c>
      <c r="D135">
        <v>70000</v>
      </c>
      <c r="E135">
        <f t="shared" si="5"/>
        <v>11200</v>
      </c>
      <c r="F135">
        <v>107517</v>
      </c>
      <c r="G135" t="s">
        <v>208</v>
      </c>
    </row>
    <row r="136" spans="1:7">
      <c r="A136" t="s">
        <v>280</v>
      </c>
      <c r="B136">
        <v>311315000</v>
      </c>
      <c r="C136">
        <v>9102978</v>
      </c>
      <c r="D136">
        <v>50400</v>
      </c>
      <c r="E136">
        <f t="shared" si="5"/>
        <v>8064</v>
      </c>
      <c r="F136">
        <v>73817</v>
      </c>
      <c r="G136" t="s">
        <v>208</v>
      </c>
    </row>
    <row r="137" spans="1:7" s="6" customFormat="1">
      <c r="A137" t="s">
        <v>126</v>
      </c>
      <c r="B137">
        <v>309908000</v>
      </c>
      <c r="C137">
        <v>9138329</v>
      </c>
      <c r="D137">
        <f>4*2640</f>
        <v>10560</v>
      </c>
      <c r="E137">
        <f t="shared" si="5"/>
        <v>1689.6000000000001</v>
      </c>
      <c r="F137">
        <v>1586.76988838799</v>
      </c>
      <c r="G137" t="s">
        <v>208</v>
      </c>
    </row>
    <row r="138" spans="1:7" s="6" customFormat="1">
      <c r="A138" t="s">
        <v>281</v>
      </c>
      <c r="B138">
        <v>255806208</v>
      </c>
      <c r="C138">
        <v>9000168</v>
      </c>
      <c r="D138">
        <v>5880</v>
      </c>
      <c r="E138">
        <f t="shared" si="5"/>
        <v>940.80000000000007</v>
      </c>
      <c r="F138">
        <v>8378</v>
      </c>
      <c r="G138" t="s">
        <v>208</v>
      </c>
    </row>
    <row r="139" spans="1:7" s="6" customFormat="1">
      <c r="A139" t="s">
        <v>127</v>
      </c>
      <c r="B139">
        <v>215768000</v>
      </c>
      <c r="C139">
        <v>9817133</v>
      </c>
      <c r="D139">
        <f>4*2800</f>
        <v>11200</v>
      </c>
      <c r="E139">
        <f t="shared" si="5"/>
        <v>1792</v>
      </c>
      <c r="F139">
        <v>2336.9588161151105</v>
      </c>
      <c r="G139" t="s">
        <v>208</v>
      </c>
    </row>
    <row r="140" spans="1:7" s="6" customFormat="1">
      <c r="A140" t="s">
        <v>282</v>
      </c>
      <c r="B140">
        <v>239780000</v>
      </c>
      <c r="C140">
        <v>8984989</v>
      </c>
      <c r="D140">
        <v>1001</v>
      </c>
      <c r="E140">
        <f t="shared" si="5"/>
        <v>160.16</v>
      </c>
      <c r="F140">
        <v>498</v>
      </c>
      <c r="G140" t="s">
        <v>208</v>
      </c>
    </row>
    <row r="141" spans="1:7" s="6" customFormat="1">
      <c r="A141" t="s">
        <v>283</v>
      </c>
      <c r="B141">
        <v>311000396</v>
      </c>
      <c r="C141">
        <v>9682875</v>
      </c>
      <c r="D141">
        <v>97000</v>
      </c>
      <c r="E141">
        <f t="shared" si="5"/>
        <v>15520</v>
      </c>
      <c r="F141">
        <v>226963</v>
      </c>
      <c r="G141" t="s">
        <v>208</v>
      </c>
    </row>
    <row r="142" spans="1:7" s="6" customFormat="1">
      <c r="A142" t="s">
        <v>3</v>
      </c>
      <c r="B142">
        <v>311000253</v>
      </c>
      <c r="C142">
        <v>8802882</v>
      </c>
      <c r="D142">
        <v>7210.5109606764663</v>
      </c>
      <c r="E142">
        <f t="shared" si="5"/>
        <v>1153.6817537082347</v>
      </c>
      <c r="F142">
        <v>7210.5109606764663</v>
      </c>
      <c r="G142" t="s">
        <v>208</v>
      </c>
    </row>
    <row r="143" spans="1:7" s="6" customFormat="1">
      <c r="A143" t="s">
        <v>284</v>
      </c>
      <c r="B143" t="s">
        <v>210</v>
      </c>
      <c r="C143">
        <v>8807088</v>
      </c>
      <c r="D143">
        <v>19980</v>
      </c>
      <c r="E143">
        <f t="shared" si="5"/>
        <v>3196.8</v>
      </c>
      <c r="F143">
        <v>133596</v>
      </c>
      <c r="G143" t="s">
        <v>380</v>
      </c>
    </row>
    <row r="144" spans="1:7" s="6" customFormat="1">
      <c r="A144" t="s">
        <v>128</v>
      </c>
      <c r="B144">
        <v>256343000</v>
      </c>
      <c r="C144">
        <v>9967586</v>
      </c>
      <c r="D144">
        <v>19400</v>
      </c>
      <c r="E144">
        <f t="shared" si="5"/>
        <v>3104</v>
      </c>
      <c r="F144">
        <v>11060.679337980822</v>
      </c>
      <c r="G144" t="s">
        <v>208</v>
      </c>
    </row>
    <row r="145" spans="1:7" s="6" customFormat="1">
      <c r="A145" t="s">
        <v>285</v>
      </c>
      <c r="B145">
        <v>309374000</v>
      </c>
      <c r="C145">
        <v>9349681</v>
      </c>
      <c r="D145">
        <v>75000</v>
      </c>
      <c r="E145">
        <f t="shared" si="5"/>
        <v>12000</v>
      </c>
      <c r="F145">
        <v>155889</v>
      </c>
      <c r="G145" t="s">
        <v>208</v>
      </c>
    </row>
    <row r="146" spans="1:7" s="6" customFormat="1">
      <c r="A146" t="s">
        <v>22</v>
      </c>
      <c r="B146">
        <v>309906000</v>
      </c>
      <c r="C146">
        <v>9304033</v>
      </c>
      <c r="D146">
        <v>12600</v>
      </c>
      <c r="E146">
        <f t="shared" si="5"/>
        <v>2016</v>
      </c>
      <c r="F146">
        <v>3841.161362313771</v>
      </c>
      <c r="G146" t="s">
        <v>208</v>
      </c>
    </row>
    <row r="147" spans="1:7" s="6" customFormat="1">
      <c r="A147" t="s">
        <v>80</v>
      </c>
      <c r="B147">
        <v>538001663</v>
      </c>
      <c r="C147">
        <v>9156462</v>
      </c>
      <c r="D147">
        <v>13500</v>
      </c>
      <c r="E147">
        <f t="shared" si="5"/>
        <v>2160</v>
      </c>
      <c r="F147">
        <v>4605.9201352983036</v>
      </c>
      <c r="G147" t="s">
        <v>208</v>
      </c>
    </row>
    <row r="148" spans="1:7" s="6" customFormat="1">
      <c r="A148" t="s">
        <v>129</v>
      </c>
      <c r="B148">
        <v>232025845</v>
      </c>
      <c r="C148">
        <v>9826548</v>
      </c>
      <c r="D148">
        <v>37000</v>
      </c>
      <c r="E148">
        <f t="shared" si="5"/>
        <v>5920</v>
      </c>
      <c r="F148">
        <v>10364.722480101529</v>
      </c>
      <c r="G148" t="s">
        <v>209</v>
      </c>
    </row>
    <row r="149" spans="1:7" s="6" customFormat="1">
      <c r="A149" t="s">
        <v>286</v>
      </c>
      <c r="B149">
        <v>341929000</v>
      </c>
      <c r="C149">
        <v>8002597</v>
      </c>
      <c r="D149">
        <v>19850</v>
      </c>
      <c r="E149">
        <f t="shared" si="5"/>
        <v>3176</v>
      </c>
      <c r="F149">
        <v>40171</v>
      </c>
      <c r="G149" t="s">
        <v>208</v>
      </c>
    </row>
    <row r="150" spans="1:7" s="6" customFormat="1">
      <c r="A150" t="s">
        <v>130</v>
      </c>
      <c r="B150">
        <v>310384000</v>
      </c>
      <c r="C150">
        <v>9230402</v>
      </c>
      <c r="D150">
        <v>62700</v>
      </c>
      <c r="E150">
        <f t="shared" si="5"/>
        <v>10032</v>
      </c>
      <c r="F150">
        <v>6842.6170948877734</v>
      </c>
      <c r="G150" t="s">
        <v>208</v>
      </c>
    </row>
    <row r="151" spans="1:7" s="6" customFormat="1">
      <c r="A151" t="s">
        <v>69</v>
      </c>
      <c r="B151">
        <v>311743000</v>
      </c>
      <c r="C151">
        <v>8802894</v>
      </c>
      <c r="D151">
        <v>2606.2796099795828</v>
      </c>
      <c r="E151">
        <f t="shared" si="5"/>
        <v>417.00473759673326</v>
      </c>
      <c r="F151">
        <v>2606.2796099795828</v>
      </c>
      <c r="G151" t="s">
        <v>208</v>
      </c>
    </row>
    <row r="152" spans="1:7" s="6" customFormat="1">
      <c r="A152" t="s">
        <v>287</v>
      </c>
      <c r="B152">
        <v>209873000</v>
      </c>
      <c r="C152">
        <v>9081693</v>
      </c>
      <c r="D152">
        <v>20000</v>
      </c>
      <c r="E152">
        <f t="shared" si="5"/>
        <v>3200</v>
      </c>
      <c r="F152">
        <v>3989</v>
      </c>
      <c r="G152" t="s">
        <v>208</v>
      </c>
    </row>
    <row r="153" spans="1:7" s="6" customFormat="1">
      <c r="A153" t="s">
        <v>46</v>
      </c>
      <c r="B153">
        <v>311583000</v>
      </c>
      <c r="C153">
        <v>9228356</v>
      </c>
      <c r="D153">
        <v>9281.0431589195341</v>
      </c>
      <c r="E153">
        <f t="shared" si="5"/>
        <v>1484.9669054271255</v>
      </c>
      <c r="F153">
        <v>9281.0431589195341</v>
      </c>
      <c r="G153" t="s">
        <v>208</v>
      </c>
    </row>
    <row r="154" spans="1:7" s="6" customFormat="1">
      <c r="A154" t="s">
        <v>60</v>
      </c>
      <c r="B154">
        <v>244830547</v>
      </c>
      <c r="C154">
        <v>9692557</v>
      </c>
      <c r="D154">
        <v>50400</v>
      </c>
      <c r="E154">
        <f t="shared" si="5"/>
        <v>8064</v>
      </c>
      <c r="F154">
        <v>1777.6485691079588</v>
      </c>
      <c r="G154" t="s">
        <v>208</v>
      </c>
    </row>
    <row r="155" spans="1:7" s="6" customFormat="1">
      <c r="A155" t="s">
        <v>288</v>
      </c>
      <c r="B155">
        <v>311000419</v>
      </c>
      <c r="C155">
        <v>7625811</v>
      </c>
      <c r="D155">
        <v>12779</v>
      </c>
      <c r="E155">
        <f t="shared" si="5"/>
        <v>2044.64</v>
      </c>
      <c r="F155">
        <v>12825</v>
      </c>
      <c r="G155" t="s">
        <v>208</v>
      </c>
    </row>
    <row r="156" spans="1:7" s="6" customFormat="1">
      <c r="A156" t="s">
        <v>290</v>
      </c>
      <c r="B156">
        <v>205481000</v>
      </c>
      <c r="C156">
        <v>9432799</v>
      </c>
      <c r="D156">
        <v>2460</v>
      </c>
      <c r="E156">
        <f t="shared" si="5"/>
        <v>393.6</v>
      </c>
      <c r="F156">
        <v>2995</v>
      </c>
      <c r="G156" t="s">
        <v>208</v>
      </c>
    </row>
    <row r="157" spans="1:7" s="6" customFormat="1">
      <c r="A157" t="s">
        <v>131</v>
      </c>
      <c r="B157">
        <v>205788000</v>
      </c>
      <c r="C157">
        <v>8800195</v>
      </c>
      <c r="D157">
        <v>596.78775554719448</v>
      </c>
      <c r="E157">
        <f t="shared" si="5"/>
        <v>95.486040887551113</v>
      </c>
      <c r="F157">
        <v>596.78775554719448</v>
      </c>
      <c r="G157" t="s">
        <v>208</v>
      </c>
    </row>
    <row r="158" spans="1:7" s="6" customFormat="1">
      <c r="A158" t="s">
        <v>289</v>
      </c>
      <c r="B158">
        <v>578000700</v>
      </c>
      <c r="C158">
        <v>9502518</v>
      </c>
      <c r="D158">
        <v>6400</v>
      </c>
      <c r="E158">
        <f t="shared" si="5"/>
        <v>1024</v>
      </c>
      <c r="F158">
        <v>10944</v>
      </c>
      <c r="G158" t="s">
        <v>208</v>
      </c>
    </row>
    <row r="159" spans="1:7" s="6" customFormat="1">
      <c r="A159" t="s">
        <v>291</v>
      </c>
      <c r="B159">
        <v>578001300</v>
      </c>
      <c r="C159">
        <v>9814040</v>
      </c>
      <c r="D159">
        <v>6400</v>
      </c>
      <c r="E159">
        <f t="shared" si="5"/>
        <v>1024</v>
      </c>
      <c r="F159">
        <v>9988</v>
      </c>
      <c r="G159" t="s">
        <v>208</v>
      </c>
    </row>
    <row r="160" spans="1:7" s="6" customFormat="1">
      <c r="A160" t="s">
        <v>292</v>
      </c>
      <c r="B160">
        <v>578001100</v>
      </c>
      <c r="C160">
        <v>9814038</v>
      </c>
      <c r="D160">
        <v>6400</v>
      </c>
      <c r="E160">
        <f t="shared" si="5"/>
        <v>1024</v>
      </c>
      <c r="F160">
        <v>9976</v>
      </c>
      <c r="G160" t="s">
        <v>208</v>
      </c>
    </row>
    <row r="161" spans="1:7" s="6" customFormat="1">
      <c r="A161" t="s">
        <v>132</v>
      </c>
      <c r="B161">
        <v>578001200</v>
      </c>
      <c r="C161">
        <v>9814052</v>
      </c>
      <c r="D161">
        <v>6400</v>
      </c>
      <c r="E161">
        <f t="shared" si="5"/>
        <v>1024</v>
      </c>
      <c r="F161">
        <v>1780.7998835445001</v>
      </c>
      <c r="G161" t="s">
        <v>208</v>
      </c>
    </row>
    <row r="162" spans="1:7" s="6" customFormat="1">
      <c r="A162" t="s">
        <v>293</v>
      </c>
      <c r="B162">
        <v>578001400</v>
      </c>
      <c r="C162">
        <v>9852420</v>
      </c>
      <c r="D162">
        <v>6400</v>
      </c>
      <c r="E162">
        <f t="shared" si="5"/>
        <v>1024</v>
      </c>
      <c r="F162">
        <v>9988</v>
      </c>
      <c r="G162" t="s">
        <v>208</v>
      </c>
    </row>
    <row r="163" spans="1:7" s="6" customFormat="1">
      <c r="A163" t="s">
        <v>294</v>
      </c>
      <c r="B163">
        <v>578000900</v>
      </c>
      <c r="C163">
        <v>9814026</v>
      </c>
      <c r="D163">
        <v>6400</v>
      </c>
      <c r="E163">
        <f t="shared" si="5"/>
        <v>1024</v>
      </c>
      <c r="F163">
        <v>9976</v>
      </c>
      <c r="G163" t="s">
        <v>208</v>
      </c>
    </row>
    <row r="164" spans="1:7" s="6" customFormat="1">
      <c r="A164" t="s">
        <v>79</v>
      </c>
      <c r="B164">
        <v>578000800</v>
      </c>
      <c r="C164">
        <v>9704130</v>
      </c>
      <c r="D164">
        <v>7030.1448741583654</v>
      </c>
      <c r="E164">
        <f t="shared" si="5"/>
        <v>1124.8231798653385</v>
      </c>
      <c r="F164">
        <v>7030.1448741583654</v>
      </c>
      <c r="G164" t="s">
        <v>208</v>
      </c>
    </row>
    <row r="165" spans="1:7" s="6" customFormat="1">
      <c r="A165" s="9" t="s">
        <v>295</v>
      </c>
      <c r="B165">
        <v>227186000</v>
      </c>
      <c r="C165">
        <v>8914219</v>
      </c>
      <c r="D165">
        <v>1600</v>
      </c>
      <c r="E165">
        <f t="shared" si="5"/>
        <v>256</v>
      </c>
      <c r="F165">
        <v>3670.5927693928352</v>
      </c>
      <c r="G165" t="s">
        <v>208</v>
      </c>
    </row>
    <row r="166" spans="1:7" s="6" customFormat="1">
      <c r="A166" t="s">
        <v>296</v>
      </c>
      <c r="B166">
        <v>578000200</v>
      </c>
      <c r="C166">
        <v>9641675</v>
      </c>
      <c r="D166">
        <v>4600</v>
      </c>
      <c r="E166">
        <f t="shared" si="5"/>
        <v>736</v>
      </c>
      <c r="F166">
        <v>10992</v>
      </c>
      <c r="G166" t="s">
        <v>208</v>
      </c>
    </row>
    <row r="167" spans="1:7" s="6" customFormat="1">
      <c r="A167" t="s">
        <v>186</v>
      </c>
      <c r="B167">
        <v>311378000</v>
      </c>
      <c r="C167">
        <v>9070620</v>
      </c>
      <c r="D167">
        <v>58500</v>
      </c>
      <c r="E167">
        <f t="shared" si="5"/>
        <v>9360</v>
      </c>
      <c r="F167">
        <v>6496.1290738872203</v>
      </c>
      <c r="G167" t="s">
        <v>208</v>
      </c>
    </row>
    <row r="168" spans="1:7" s="6" customFormat="1">
      <c r="A168" t="s">
        <v>297</v>
      </c>
      <c r="B168">
        <v>309436000</v>
      </c>
      <c r="C168">
        <v>9330032</v>
      </c>
      <c r="D168">
        <v>78000</v>
      </c>
      <c r="E168">
        <f t="shared" si="5"/>
        <v>12480</v>
      </c>
      <c r="F168">
        <v>154.40700000000001</v>
      </c>
      <c r="G168" t="s">
        <v>208</v>
      </c>
    </row>
    <row r="169" spans="1:7" s="6" customFormat="1">
      <c r="A169" t="s">
        <v>298</v>
      </c>
      <c r="B169">
        <v>215467000</v>
      </c>
      <c r="C169">
        <v>6821080</v>
      </c>
      <c r="D169">
        <v>12784</v>
      </c>
      <c r="E169">
        <f t="shared" si="5"/>
        <v>2045.44</v>
      </c>
      <c r="F169">
        <v>15781</v>
      </c>
      <c r="G169" t="s">
        <v>208</v>
      </c>
    </row>
    <row r="170" spans="1:7" s="6" customFormat="1">
      <c r="A170" t="s">
        <v>299</v>
      </c>
      <c r="B170">
        <v>229001000</v>
      </c>
      <c r="C170">
        <v>7827213</v>
      </c>
      <c r="D170">
        <v>19200</v>
      </c>
      <c r="E170">
        <f t="shared" ref="E170:E198" si="6">D170*0.16</f>
        <v>3072</v>
      </c>
      <c r="F170">
        <v>25611</v>
      </c>
      <c r="G170" t="s">
        <v>208</v>
      </c>
    </row>
    <row r="171" spans="1:7" s="6" customFormat="1">
      <c r="A171" t="s">
        <v>300</v>
      </c>
      <c r="B171">
        <v>249161000</v>
      </c>
      <c r="C171">
        <v>9967598</v>
      </c>
      <c r="D171">
        <v>19135</v>
      </c>
      <c r="E171">
        <f t="shared" si="6"/>
        <v>3061.6</v>
      </c>
      <c r="F171">
        <v>48072</v>
      </c>
      <c r="G171" t="s">
        <v>209</v>
      </c>
    </row>
    <row r="172" spans="1:7" s="6" customFormat="1">
      <c r="A172" t="s">
        <v>301</v>
      </c>
      <c r="B172">
        <v>310805000</v>
      </c>
      <c r="C172">
        <v>8919257</v>
      </c>
      <c r="D172">
        <v>22500</v>
      </c>
      <c r="E172">
        <f t="shared" si="6"/>
        <v>3600</v>
      </c>
      <c r="F172">
        <v>55575</v>
      </c>
      <c r="G172" t="s">
        <v>208</v>
      </c>
    </row>
    <row r="173" spans="1:7" s="6" customFormat="1">
      <c r="A173" t="s">
        <v>302</v>
      </c>
      <c r="B173">
        <v>311000343</v>
      </c>
      <c r="C173">
        <v>8217881</v>
      </c>
      <c r="D173">
        <v>3440</v>
      </c>
      <c r="E173">
        <f t="shared" si="6"/>
        <v>550.4</v>
      </c>
      <c r="F173">
        <v>5258</v>
      </c>
      <c r="G173" t="s">
        <v>208</v>
      </c>
    </row>
    <row r="174" spans="1:7" s="6" customFormat="1">
      <c r="A174" t="s">
        <v>94</v>
      </c>
      <c r="B174">
        <v>232002990</v>
      </c>
      <c r="C174">
        <v>9614141</v>
      </c>
      <c r="D174">
        <v>36000</v>
      </c>
      <c r="E174">
        <f t="shared" si="6"/>
        <v>5760</v>
      </c>
      <c r="F174">
        <v>5330.5802304691952</v>
      </c>
      <c r="G174" t="s">
        <v>208</v>
      </c>
    </row>
    <row r="175" spans="1:7" s="6" customFormat="1">
      <c r="A175" t="s">
        <v>303</v>
      </c>
      <c r="B175">
        <v>311001049</v>
      </c>
      <c r="C175">
        <v>9837444</v>
      </c>
      <c r="D175">
        <v>62370</v>
      </c>
      <c r="E175">
        <f t="shared" si="6"/>
        <v>9979.2000000000007</v>
      </c>
      <c r="F175">
        <v>181808</v>
      </c>
      <c r="G175" t="s">
        <v>209</v>
      </c>
    </row>
    <row r="176" spans="1:7" s="6" customFormat="1">
      <c r="A176" t="s">
        <v>304</v>
      </c>
      <c r="B176" t="s">
        <v>210</v>
      </c>
      <c r="C176">
        <v>8027298</v>
      </c>
      <c r="D176">
        <v>21600</v>
      </c>
      <c r="E176">
        <f t="shared" si="6"/>
        <v>3456</v>
      </c>
      <c r="F176">
        <v>33933</v>
      </c>
      <c r="G176" t="s">
        <v>209</v>
      </c>
    </row>
    <row r="177" spans="1:7" s="6" customFormat="1">
      <c r="A177" t="s">
        <v>305</v>
      </c>
      <c r="B177">
        <v>249639000</v>
      </c>
      <c r="C177">
        <v>9070632</v>
      </c>
      <c r="D177">
        <v>72000</v>
      </c>
      <c r="E177">
        <f t="shared" si="6"/>
        <v>11520</v>
      </c>
      <c r="F177">
        <v>69300</v>
      </c>
      <c r="G177" t="s">
        <v>208</v>
      </c>
    </row>
    <row r="178" spans="1:7" s="6" customFormat="1">
      <c r="A178" t="s">
        <v>133</v>
      </c>
      <c r="B178">
        <v>311378000</v>
      </c>
      <c r="C178">
        <v>9070620</v>
      </c>
      <c r="D178">
        <v>57500</v>
      </c>
      <c r="E178">
        <f t="shared" si="6"/>
        <v>9200</v>
      </c>
      <c r="F178">
        <v>6496.1290738872203</v>
      </c>
      <c r="G178" t="s">
        <v>208</v>
      </c>
    </row>
    <row r="179" spans="1:7" s="6" customFormat="1">
      <c r="A179" t="s">
        <v>306</v>
      </c>
      <c r="B179" t="s">
        <v>210</v>
      </c>
      <c r="C179">
        <v>8407735</v>
      </c>
      <c r="D179">
        <v>23800</v>
      </c>
      <c r="E179">
        <f t="shared" si="6"/>
        <v>3808</v>
      </c>
      <c r="F179">
        <v>54763</v>
      </c>
      <c r="G179" t="s">
        <v>208</v>
      </c>
    </row>
    <row r="180" spans="1:7" s="6" customFormat="1">
      <c r="A180" t="s">
        <v>307</v>
      </c>
      <c r="B180">
        <v>249051000</v>
      </c>
      <c r="C180">
        <v>9106297</v>
      </c>
      <c r="D180">
        <v>30000</v>
      </c>
      <c r="E180">
        <f t="shared" si="6"/>
        <v>4800</v>
      </c>
      <c r="F180">
        <v>76998</v>
      </c>
      <c r="G180" t="s">
        <v>208</v>
      </c>
    </row>
    <row r="181" spans="1:7" s="6" customFormat="1">
      <c r="A181" t="s">
        <v>134</v>
      </c>
      <c r="B181">
        <v>249054000</v>
      </c>
      <c r="C181">
        <v>9072446</v>
      </c>
      <c r="D181">
        <v>29250</v>
      </c>
      <c r="E181">
        <f t="shared" si="6"/>
        <v>4680</v>
      </c>
      <c r="F181">
        <v>6496.1290738872203</v>
      </c>
      <c r="G181" t="s">
        <v>208</v>
      </c>
    </row>
    <row r="182" spans="1:7" s="6" customFormat="1">
      <c r="A182" t="s">
        <v>308</v>
      </c>
      <c r="B182">
        <v>248368000</v>
      </c>
      <c r="C182">
        <v>8024014</v>
      </c>
      <c r="D182">
        <v>22400</v>
      </c>
      <c r="E182">
        <f t="shared" si="6"/>
        <v>3584</v>
      </c>
      <c r="F182">
        <v>33930</v>
      </c>
      <c r="G182" t="s">
        <v>208</v>
      </c>
    </row>
    <row r="183" spans="1:7" s="6" customFormat="1">
      <c r="A183" t="s">
        <v>135</v>
      </c>
      <c r="B183">
        <v>249053000</v>
      </c>
      <c r="C183">
        <v>9106302</v>
      </c>
      <c r="D183">
        <v>31500</v>
      </c>
      <c r="E183">
        <f t="shared" si="6"/>
        <v>5040</v>
      </c>
      <c r="F183">
        <v>6496.1290738872203</v>
      </c>
      <c r="G183" t="s">
        <v>208</v>
      </c>
    </row>
    <row r="184" spans="1:7" s="6" customFormat="1">
      <c r="A184" t="s">
        <v>32</v>
      </c>
      <c r="B184">
        <v>538003668</v>
      </c>
      <c r="C184">
        <v>9438066</v>
      </c>
      <c r="D184">
        <v>42000</v>
      </c>
      <c r="E184">
        <f t="shared" si="6"/>
        <v>6720</v>
      </c>
      <c r="F184">
        <v>4890.9420312334578</v>
      </c>
      <c r="G184" t="s">
        <v>208</v>
      </c>
    </row>
    <row r="185" spans="1:7" s="6" customFormat="1">
      <c r="A185" t="s">
        <v>32</v>
      </c>
      <c r="B185">
        <v>538003668</v>
      </c>
      <c r="C185">
        <v>9438066</v>
      </c>
      <c r="D185">
        <v>66000</v>
      </c>
      <c r="E185">
        <f t="shared" si="6"/>
        <v>10560</v>
      </c>
      <c r="F185">
        <v>5574.0779455751799</v>
      </c>
      <c r="G185" t="s">
        <v>208</v>
      </c>
    </row>
    <row r="186" spans="1:7" s="6" customFormat="1">
      <c r="A186" t="s">
        <v>309</v>
      </c>
      <c r="B186">
        <v>271043540</v>
      </c>
      <c r="C186">
        <v>8515661</v>
      </c>
      <c r="D186">
        <v>75600</v>
      </c>
      <c r="E186">
        <f t="shared" si="6"/>
        <v>12096</v>
      </c>
      <c r="F186">
        <v>139863</v>
      </c>
      <c r="G186" t="s">
        <v>208</v>
      </c>
    </row>
    <row r="187" spans="1:7" s="6" customFormat="1">
      <c r="A187" t="s">
        <v>187</v>
      </c>
      <c r="B187">
        <v>248513000</v>
      </c>
      <c r="C187">
        <v>9783564</v>
      </c>
      <c r="D187">
        <v>27150</v>
      </c>
      <c r="E187">
        <f t="shared" si="6"/>
        <v>4344</v>
      </c>
      <c r="F187">
        <v>8774.1393346555269</v>
      </c>
      <c r="G187" t="s">
        <v>208</v>
      </c>
    </row>
    <row r="188" spans="1:7" s="6" customFormat="1">
      <c r="A188" t="s">
        <v>33</v>
      </c>
      <c r="B188">
        <v>248956000</v>
      </c>
      <c r="C188">
        <v>9783576</v>
      </c>
      <c r="D188">
        <v>8160.5023217793987</v>
      </c>
      <c r="E188">
        <f t="shared" si="6"/>
        <v>1305.6803714847038</v>
      </c>
      <c r="F188">
        <v>8160.5023217793987</v>
      </c>
      <c r="G188" t="s">
        <v>208</v>
      </c>
    </row>
    <row r="189" spans="1:7" s="6" customFormat="1">
      <c r="A189" t="s">
        <v>4</v>
      </c>
      <c r="B189">
        <v>229090000</v>
      </c>
      <c r="C189">
        <v>9641730</v>
      </c>
      <c r="D189">
        <v>11066.76485370503</v>
      </c>
      <c r="E189">
        <f t="shared" si="6"/>
        <v>1770.6823765928048</v>
      </c>
      <c r="F189">
        <v>11066.76485370503</v>
      </c>
      <c r="G189" t="s">
        <v>208</v>
      </c>
    </row>
    <row r="190" spans="1:7" s="6" customFormat="1">
      <c r="A190" t="s">
        <v>35</v>
      </c>
      <c r="B190">
        <v>229678000</v>
      </c>
      <c r="C190">
        <v>9678408</v>
      </c>
      <c r="D190">
        <v>4902.2123110264911</v>
      </c>
      <c r="E190">
        <f t="shared" si="6"/>
        <v>784.35396976423863</v>
      </c>
      <c r="F190">
        <v>4902.2123110264911</v>
      </c>
      <c r="G190" t="s">
        <v>208</v>
      </c>
    </row>
    <row r="191" spans="1:7" s="6" customFormat="1">
      <c r="A191" t="s">
        <v>34</v>
      </c>
      <c r="B191">
        <v>256235000</v>
      </c>
      <c r="C191">
        <v>9753193</v>
      </c>
      <c r="D191">
        <v>45200</v>
      </c>
      <c r="E191">
        <f t="shared" si="6"/>
        <v>7232</v>
      </c>
      <c r="F191">
        <v>3638.6871170898689</v>
      </c>
      <c r="G191" t="s">
        <v>208</v>
      </c>
    </row>
    <row r="192" spans="1:7" s="6" customFormat="1">
      <c r="A192" t="s">
        <v>310</v>
      </c>
      <c r="B192">
        <v>249660000</v>
      </c>
      <c r="C192">
        <v>9753208</v>
      </c>
      <c r="D192">
        <v>28000</v>
      </c>
      <c r="E192">
        <f t="shared" si="6"/>
        <v>4480</v>
      </c>
      <c r="F192">
        <v>98811</v>
      </c>
      <c r="G192" t="s">
        <v>208</v>
      </c>
    </row>
    <row r="193" spans="1:7" s="6" customFormat="1">
      <c r="A193" t="s">
        <v>311</v>
      </c>
      <c r="B193">
        <v>256750000</v>
      </c>
      <c r="C193">
        <v>9851189</v>
      </c>
      <c r="D193">
        <v>48000</v>
      </c>
      <c r="E193">
        <f t="shared" si="6"/>
        <v>7680</v>
      </c>
      <c r="F193">
        <v>112982</v>
      </c>
      <c r="G193" t="s">
        <v>208</v>
      </c>
    </row>
    <row r="194" spans="1:7" s="6" customFormat="1">
      <c r="A194" t="s">
        <v>312</v>
      </c>
      <c r="B194">
        <v>249053000</v>
      </c>
      <c r="C194">
        <v>9106302</v>
      </c>
      <c r="D194">
        <v>37130</v>
      </c>
      <c r="E194">
        <f t="shared" si="6"/>
        <v>5940.8</v>
      </c>
      <c r="F194">
        <v>77302</v>
      </c>
      <c r="G194" t="s">
        <v>208</v>
      </c>
    </row>
    <row r="195" spans="1:7" s="6" customFormat="1">
      <c r="A195" t="s">
        <v>313</v>
      </c>
      <c r="B195">
        <v>249129000</v>
      </c>
      <c r="C195">
        <v>9862657</v>
      </c>
      <c r="D195">
        <v>60000</v>
      </c>
      <c r="E195">
        <f t="shared" si="6"/>
        <v>9600</v>
      </c>
      <c r="F195">
        <v>157651</v>
      </c>
      <c r="G195" t="s">
        <v>380</v>
      </c>
    </row>
    <row r="196" spans="1:7" s="6" customFormat="1">
      <c r="A196" t="s">
        <v>314</v>
      </c>
      <c r="B196">
        <v>538009388</v>
      </c>
      <c r="C196">
        <v>9320142</v>
      </c>
      <c r="D196">
        <v>6920</v>
      </c>
      <c r="E196">
        <f>D196*0.16</f>
        <v>1107.2</v>
      </c>
      <c r="F196">
        <v>12892</v>
      </c>
      <c r="G196" t="s">
        <v>209</v>
      </c>
    </row>
    <row r="197" spans="1:7" s="6" customFormat="1">
      <c r="A197" t="s">
        <v>55</v>
      </c>
      <c r="B197">
        <v>357281000</v>
      </c>
      <c r="C197">
        <v>9210141</v>
      </c>
      <c r="D197">
        <v>31680</v>
      </c>
      <c r="E197">
        <f t="shared" si="6"/>
        <v>5068.8</v>
      </c>
      <c r="F197">
        <v>11882.143367205361</v>
      </c>
      <c r="G197" t="s">
        <v>208</v>
      </c>
    </row>
    <row r="198" spans="1:7" s="6" customFormat="1">
      <c r="A198" t="s">
        <v>315</v>
      </c>
      <c r="B198">
        <v>248992000</v>
      </c>
      <c r="C198">
        <v>9760524</v>
      </c>
      <c r="D198">
        <v>38400</v>
      </c>
      <c r="E198" s="3">
        <f t="shared" si="6"/>
        <v>6144</v>
      </c>
      <c r="F198">
        <v>171598</v>
      </c>
      <c r="G198" t="s">
        <v>208</v>
      </c>
    </row>
    <row r="199" spans="1:7" s="6" customFormat="1">
      <c r="A199" t="s">
        <v>136</v>
      </c>
      <c r="B199">
        <v>373178000</v>
      </c>
      <c r="C199">
        <v>9585285</v>
      </c>
      <c r="D199">
        <v>40000</v>
      </c>
      <c r="E199">
        <f t="shared" ref="E199:E206" si="7">D199*0.16</f>
        <v>6400</v>
      </c>
      <c r="F199">
        <v>8733.535017286642</v>
      </c>
      <c r="G199" t="s">
        <v>208</v>
      </c>
    </row>
    <row r="200" spans="1:7" s="6" customFormat="1">
      <c r="A200" t="s">
        <v>56</v>
      </c>
      <c r="B200">
        <v>370648000</v>
      </c>
      <c r="C200">
        <v>9359791</v>
      </c>
      <c r="D200">
        <v>40000</v>
      </c>
      <c r="E200">
        <f t="shared" si="7"/>
        <v>6400</v>
      </c>
      <c r="F200">
        <v>3770.172701097692</v>
      </c>
      <c r="G200" t="s">
        <v>208</v>
      </c>
    </row>
    <row r="201" spans="1:7" s="6" customFormat="1">
      <c r="A201" t="s">
        <v>137</v>
      </c>
      <c r="B201">
        <v>215325000</v>
      </c>
      <c r="C201">
        <v>9803613</v>
      </c>
      <c r="D201">
        <v>40000</v>
      </c>
      <c r="E201">
        <f t="shared" si="7"/>
        <v>6400</v>
      </c>
      <c r="F201">
        <v>10257.37308979392</v>
      </c>
      <c r="G201" t="s">
        <v>208</v>
      </c>
    </row>
    <row r="202" spans="1:7" s="6" customFormat="1">
      <c r="A202" t="s">
        <v>138</v>
      </c>
      <c r="B202">
        <v>356042000</v>
      </c>
      <c r="C202">
        <v>9246102</v>
      </c>
      <c r="D202">
        <f>4*7650</f>
        <v>30600</v>
      </c>
      <c r="E202">
        <f t="shared" si="7"/>
        <v>4896</v>
      </c>
      <c r="F202">
        <v>5548.9449076590781</v>
      </c>
      <c r="G202" t="s">
        <v>208</v>
      </c>
    </row>
    <row r="203" spans="1:7" s="6" customFormat="1">
      <c r="A203" t="s">
        <v>40</v>
      </c>
      <c r="B203">
        <v>352594000</v>
      </c>
      <c r="C203">
        <v>9387085</v>
      </c>
      <c r="D203">
        <v>290000</v>
      </c>
      <c r="E203">
        <f t="shared" si="7"/>
        <v>46400</v>
      </c>
      <c r="F203">
        <v>1750.869997390231</v>
      </c>
      <c r="G203" t="s">
        <v>208</v>
      </c>
    </row>
    <row r="204" spans="1:7" s="6" customFormat="1">
      <c r="A204" t="s">
        <v>36</v>
      </c>
      <c r="B204">
        <v>249973000</v>
      </c>
      <c r="C204">
        <v>9760512</v>
      </c>
      <c r="D204">
        <v>488.53776572671637</v>
      </c>
      <c r="E204">
        <f t="shared" si="7"/>
        <v>78.166042516274615</v>
      </c>
      <c r="F204">
        <v>488.53776572671637</v>
      </c>
      <c r="G204" t="s">
        <v>208</v>
      </c>
    </row>
    <row r="205" spans="1:7" s="6" customFormat="1">
      <c r="A205" t="s">
        <v>139</v>
      </c>
      <c r="B205">
        <v>352003000</v>
      </c>
      <c r="C205">
        <v>9320087</v>
      </c>
      <c r="D205">
        <v>58000</v>
      </c>
      <c r="E205">
        <f t="shared" si="7"/>
        <v>9280</v>
      </c>
      <c r="F205">
        <v>6824.2270684030418</v>
      </c>
      <c r="G205" t="s">
        <v>208</v>
      </c>
    </row>
    <row r="206" spans="1:7" s="6" customFormat="1">
      <c r="A206" t="s">
        <v>316</v>
      </c>
      <c r="B206">
        <v>357627000</v>
      </c>
      <c r="C206">
        <v>9250464</v>
      </c>
      <c r="D206">
        <v>31680</v>
      </c>
      <c r="E206" s="3">
        <f t="shared" si="7"/>
        <v>5068.8</v>
      </c>
      <c r="F206">
        <v>65591</v>
      </c>
      <c r="G206" t="s">
        <v>208</v>
      </c>
    </row>
    <row r="207" spans="1:7" s="6" customFormat="1">
      <c r="A207" t="s">
        <v>41</v>
      </c>
      <c r="B207">
        <v>372497000</v>
      </c>
      <c r="C207">
        <v>9320099</v>
      </c>
      <c r="D207">
        <v>58500</v>
      </c>
      <c r="E207">
        <f>D207*0.16</f>
        <v>9360</v>
      </c>
      <c r="F207">
        <v>187.98306617674524</v>
      </c>
      <c r="G207" t="s">
        <v>208</v>
      </c>
    </row>
    <row r="208" spans="1:7" s="6" customFormat="1">
      <c r="A208" t="s">
        <v>92</v>
      </c>
      <c r="B208">
        <v>355931000</v>
      </c>
      <c r="C208">
        <v>9387073</v>
      </c>
      <c r="D208">
        <v>58000</v>
      </c>
      <c r="E208">
        <f>D208*0.16</f>
        <v>9280</v>
      </c>
      <c r="F208">
        <v>405.72910806825985</v>
      </c>
      <c r="G208" t="s">
        <v>208</v>
      </c>
    </row>
    <row r="209" spans="1:7">
      <c r="A209" t="s">
        <v>90</v>
      </c>
      <c r="B209" t="s">
        <v>210</v>
      </c>
      <c r="C209">
        <v>9595321</v>
      </c>
      <c r="D209">
        <v>40000</v>
      </c>
      <c r="E209">
        <f>D209*0.16</f>
        <v>6400</v>
      </c>
      <c r="F209">
        <v>6496.1290738872203</v>
      </c>
      <c r="G209" t="s">
        <v>208</v>
      </c>
    </row>
    <row r="210" spans="1:7">
      <c r="A210" t="s">
        <v>317</v>
      </c>
      <c r="B210">
        <v>256059000</v>
      </c>
      <c r="C210">
        <v>9843807</v>
      </c>
      <c r="D210">
        <v>65000</v>
      </c>
      <c r="E210" s="3">
        <f>D210*0.16</f>
        <v>10400</v>
      </c>
      <c r="F210">
        <v>170412</v>
      </c>
      <c r="G210" t="s">
        <v>208</v>
      </c>
    </row>
    <row r="211" spans="1:7">
      <c r="A211" t="s">
        <v>318</v>
      </c>
      <c r="B211">
        <v>247435200</v>
      </c>
      <c r="C211">
        <v>9843792</v>
      </c>
      <c r="D211">
        <v>62400</v>
      </c>
      <c r="E211" s="3">
        <f>D211*0.16</f>
        <v>9984</v>
      </c>
      <c r="F211">
        <v>170412</v>
      </c>
      <c r="G211" t="s">
        <v>208</v>
      </c>
    </row>
    <row r="212" spans="1:7">
      <c r="A212" t="s">
        <v>89</v>
      </c>
      <c r="B212">
        <v>248392000</v>
      </c>
      <c r="C212">
        <v>9745366</v>
      </c>
      <c r="D212">
        <v>62400</v>
      </c>
      <c r="E212">
        <f>D212*0.16</f>
        <v>9984</v>
      </c>
      <c r="F212">
        <v>4053.7968412337973</v>
      </c>
      <c r="G212" t="s">
        <v>208</v>
      </c>
    </row>
    <row r="213" spans="1:7">
      <c r="A213" t="s">
        <v>140</v>
      </c>
      <c r="B213">
        <v>248717000</v>
      </c>
      <c r="C213">
        <v>9745378</v>
      </c>
      <c r="D213">
        <v>62400</v>
      </c>
      <c r="E213">
        <f>D213*0.16</f>
        <v>9984</v>
      </c>
      <c r="F213">
        <v>9270.18992821352</v>
      </c>
      <c r="G213" t="s">
        <v>208</v>
      </c>
    </row>
    <row r="214" spans="1:7">
      <c r="A214" t="s">
        <v>319</v>
      </c>
      <c r="B214">
        <v>356716000</v>
      </c>
      <c r="C214">
        <v>9210153</v>
      </c>
      <c r="D214">
        <v>31680</v>
      </c>
      <c r="E214" s="3">
        <f>D214*0.16</f>
        <v>5068.8</v>
      </c>
      <c r="F214">
        <v>65542</v>
      </c>
      <c r="G214" t="s">
        <v>208</v>
      </c>
    </row>
    <row r="215" spans="1:7">
      <c r="A215" t="s">
        <v>39</v>
      </c>
      <c r="B215">
        <v>357698000</v>
      </c>
      <c r="C215">
        <v>9359806</v>
      </c>
      <c r="D215">
        <v>40000</v>
      </c>
      <c r="E215">
        <f>D215*0.16</f>
        <v>6400</v>
      </c>
      <c r="F215">
        <v>9302.918439911351</v>
      </c>
      <c r="G215" t="s">
        <v>208</v>
      </c>
    </row>
    <row r="216" spans="1:7">
      <c r="A216" t="s">
        <v>141</v>
      </c>
      <c r="B216">
        <v>215610000</v>
      </c>
      <c r="C216">
        <v>9803625</v>
      </c>
      <c r="D216">
        <v>40000</v>
      </c>
      <c r="E216">
        <f>D216*0.16</f>
        <v>6400</v>
      </c>
      <c r="F216">
        <v>10257.37308979392</v>
      </c>
      <c r="G216" t="s">
        <v>208</v>
      </c>
    </row>
    <row r="217" spans="1:7">
      <c r="A217" t="s">
        <v>142</v>
      </c>
      <c r="B217">
        <v>256070000</v>
      </c>
      <c r="C217">
        <v>9837420</v>
      </c>
      <c r="D217">
        <v>11387.318176506787</v>
      </c>
      <c r="E217">
        <f>D217*0.16</f>
        <v>1821.9709082410861</v>
      </c>
      <c r="F217">
        <v>11387.318176506787</v>
      </c>
      <c r="G217" t="s">
        <v>209</v>
      </c>
    </row>
    <row r="218" spans="1:7">
      <c r="A218" t="s">
        <v>143</v>
      </c>
      <c r="B218">
        <v>309336000</v>
      </c>
      <c r="C218">
        <v>8019356</v>
      </c>
      <c r="D218">
        <v>4700</v>
      </c>
      <c r="E218">
        <f>D218*0.16</f>
        <v>752</v>
      </c>
      <c r="F218">
        <v>727.80573122984015</v>
      </c>
      <c r="G218" t="s">
        <v>208</v>
      </c>
    </row>
    <row r="219" spans="1:7">
      <c r="A219" t="s">
        <v>320</v>
      </c>
      <c r="B219">
        <v>311603000</v>
      </c>
      <c r="C219">
        <v>9273076</v>
      </c>
      <c r="D219">
        <v>2400</v>
      </c>
      <c r="E219" s="3">
        <f>D219*0.16</f>
        <v>384</v>
      </c>
      <c r="F219">
        <v>3984</v>
      </c>
      <c r="G219" t="s">
        <v>208</v>
      </c>
    </row>
    <row r="220" spans="1:7">
      <c r="A220" t="s">
        <v>14</v>
      </c>
      <c r="B220">
        <v>538001665</v>
      </c>
      <c r="C220">
        <v>9200938</v>
      </c>
      <c r="D220">
        <v>13500</v>
      </c>
      <c r="E220">
        <f>D220*0.16</f>
        <v>2160</v>
      </c>
      <c r="F220">
        <v>10357.722824753568</v>
      </c>
      <c r="G220" t="s">
        <v>208</v>
      </c>
    </row>
    <row r="221" spans="1:7">
      <c r="A221" t="s">
        <v>45</v>
      </c>
      <c r="B221">
        <v>311478000</v>
      </c>
      <c r="C221">
        <v>9227508</v>
      </c>
      <c r="D221">
        <v>75600</v>
      </c>
      <c r="E221">
        <f>D221*0.16</f>
        <v>12096</v>
      </c>
      <c r="F221">
        <v>10118.242425487948</v>
      </c>
      <c r="G221" t="s">
        <v>208</v>
      </c>
    </row>
    <row r="222" spans="1:7">
      <c r="A222" t="s">
        <v>321</v>
      </c>
      <c r="B222">
        <v>246648000</v>
      </c>
      <c r="C222">
        <v>9378450</v>
      </c>
      <c r="D222">
        <v>64000</v>
      </c>
      <c r="E222" s="3">
        <f>D222*0.16</f>
        <v>10240</v>
      </c>
      <c r="F222">
        <v>86273</v>
      </c>
      <c r="G222" t="s">
        <v>208</v>
      </c>
    </row>
    <row r="223" spans="1:7">
      <c r="A223" t="s">
        <v>144</v>
      </c>
      <c r="B223">
        <v>244140580</v>
      </c>
      <c r="C223">
        <v>9767106</v>
      </c>
      <c r="D223">
        <v>50400</v>
      </c>
      <c r="E223">
        <f>D223*0.16</f>
        <v>8064</v>
      </c>
      <c r="F223">
        <v>7152.9950752722198</v>
      </c>
      <c r="G223" t="s">
        <v>208</v>
      </c>
    </row>
    <row r="224" spans="1:7">
      <c r="A224" t="s">
        <v>322</v>
      </c>
      <c r="B224">
        <v>246028000</v>
      </c>
      <c r="C224">
        <v>9230115</v>
      </c>
      <c r="D224">
        <v>51840</v>
      </c>
      <c r="E224" s="3">
        <f>D224*0.16</f>
        <v>8294.4</v>
      </c>
      <c r="F224">
        <v>82897</v>
      </c>
      <c r="G224" t="s">
        <v>208</v>
      </c>
    </row>
    <row r="225" spans="1:7">
      <c r="A225" t="s">
        <v>323</v>
      </c>
      <c r="B225">
        <v>311000710</v>
      </c>
      <c r="C225">
        <v>9751509</v>
      </c>
      <c r="D225">
        <v>76800</v>
      </c>
      <c r="E225" s="3">
        <f>D225*0.16</f>
        <v>12288</v>
      </c>
      <c r="F225">
        <v>168028</v>
      </c>
      <c r="G225" t="s">
        <v>208</v>
      </c>
    </row>
    <row r="226" spans="1:7">
      <c r="A226" t="s">
        <v>324</v>
      </c>
      <c r="B226">
        <v>311050800</v>
      </c>
      <c r="C226">
        <v>9606912</v>
      </c>
      <c r="D226">
        <v>62400</v>
      </c>
      <c r="E226" s="3">
        <f>D226*0.16</f>
        <v>9984</v>
      </c>
      <c r="F226">
        <v>145655</v>
      </c>
      <c r="G226" t="s">
        <v>380</v>
      </c>
    </row>
    <row r="227" spans="1:7">
      <c r="A227" t="s">
        <v>145</v>
      </c>
      <c r="B227">
        <v>311307000</v>
      </c>
      <c r="C227">
        <v>9195169</v>
      </c>
      <c r="D227">
        <v>58800</v>
      </c>
      <c r="E227">
        <f>D227*0.16</f>
        <v>9408</v>
      </c>
      <c r="F227">
        <v>6817.1384461551661</v>
      </c>
      <c r="G227" t="s">
        <v>208</v>
      </c>
    </row>
    <row r="228" spans="1:7">
      <c r="A228" t="s">
        <v>20</v>
      </c>
      <c r="B228">
        <v>311018500</v>
      </c>
      <c r="C228">
        <v>9410569</v>
      </c>
      <c r="D228">
        <v>34200</v>
      </c>
      <c r="E228">
        <f>D228*0.16</f>
        <v>5472</v>
      </c>
      <c r="F228">
        <v>10841.731041977138</v>
      </c>
      <c r="G228" t="s">
        <v>208</v>
      </c>
    </row>
    <row r="229" spans="1:7">
      <c r="A229" t="s">
        <v>146</v>
      </c>
      <c r="B229">
        <v>311000341</v>
      </c>
      <c r="C229">
        <v>9677076</v>
      </c>
      <c r="D229">
        <v>76800</v>
      </c>
      <c r="E229">
        <f>D229*0.16</f>
        <v>12288</v>
      </c>
      <c r="F229">
        <v>9688.2589346819459</v>
      </c>
      <c r="G229" t="s">
        <v>208</v>
      </c>
    </row>
    <row r="230" spans="1:7">
      <c r="A230" t="s">
        <v>325</v>
      </c>
      <c r="B230">
        <v>309951000</v>
      </c>
      <c r="C230">
        <v>9355733</v>
      </c>
      <c r="D230">
        <v>72000</v>
      </c>
      <c r="E230" s="3">
        <f>D230*0.16</f>
        <v>11520</v>
      </c>
      <c r="F230">
        <v>93530</v>
      </c>
      <c r="G230" t="s">
        <v>208</v>
      </c>
    </row>
    <row r="231" spans="1:7">
      <c r="A231" t="s">
        <v>147</v>
      </c>
      <c r="B231">
        <v>311050900</v>
      </c>
      <c r="C231">
        <v>9606924</v>
      </c>
      <c r="D231">
        <v>67200</v>
      </c>
      <c r="E231">
        <f>D231*0.16</f>
        <v>10752</v>
      </c>
      <c r="F231">
        <v>8980.732985837607</v>
      </c>
      <c r="G231" t="s">
        <v>208</v>
      </c>
    </row>
    <row r="232" spans="1:7">
      <c r="A232" t="s">
        <v>326</v>
      </c>
      <c r="B232">
        <v>308416000</v>
      </c>
      <c r="C232">
        <v>9304057</v>
      </c>
      <c r="D232">
        <v>72000</v>
      </c>
      <c r="E232" s="3">
        <f>D232*0.16</f>
        <v>11520</v>
      </c>
      <c r="F232">
        <v>93558</v>
      </c>
      <c r="G232" t="s">
        <v>208</v>
      </c>
    </row>
    <row r="233" spans="1:7">
      <c r="A233" t="s">
        <v>327</v>
      </c>
      <c r="B233">
        <v>311827000</v>
      </c>
      <c r="C233">
        <v>9304045</v>
      </c>
      <c r="D233">
        <v>72000</v>
      </c>
      <c r="E233" s="3">
        <f>D233*0.16</f>
        <v>11520</v>
      </c>
      <c r="F233">
        <v>93502</v>
      </c>
      <c r="G233" t="s">
        <v>208</v>
      </c>
    </row>
    <row r="234" spans="1:7">
      <c r="A234" t="s">
        <v>148</v>
      </c>
      <c r="B234">
        <v>309653000</v>
      </c>
      <c r="C234">
        <v>9342281</v>
      </c>
      <c r="D234">
        <v>72000</v>
      </c>
      <c r="E234">
        <f t="shared" ref="E234:E242" si="8">D234*0.16</f>
        <v>11520</v>
      </c>
      <c r="F234">
        <v>6874.0675516105912</v>
      </c>
      <c r="G234" t="s">
        <v>208</v>
      </c>
    </row>
    <row r="235" spans="1:7">
      <c r="A235" t="s">
        <v>149</v>
      </c>
      <c r="B235">
        <v>311001059</v>
      </c>
      <c r="C235">
        <v>9823986</v>
      </c>
      <c r="D235">
        <v>8862.8250678745462</v>
      </c>
      <c r="E235">
        <f t="shared" si="8"/>
        <v>1418.0520108599273</v>
      </c>
      <c r="F235">
        <v>8862.8250678745462</v>
      </c>
      <c r="G235" t="s">
        <v>209</v>
      </c>
    </row>
    <row r="236" spans="1:7">
      <c r="A236" t="s">
        <v>150</v>
      </c>
      <c r="B236">
        <v>308865000</v>
      </c>
      <c r="C236">
        <v>9128532</v>
      </c>
      <c r="D236">
        <v>50700</v>
      </c>
      <c r="E236">
        <f t="shared" si="8"/>
        <v>8112</v>
      </c>
      <c r="F236">
        <v>6117.8076938351451</v>
      </c>
      <c r="G236" t="s">
        <v>208</v>
      </c>
    </row>
    <row r="237" spans="1:7">
      <c r="A237" t="s">
        <v>19</v>
      </c>
      <c r="B237">
        <v>311746000</v>
      </c>
      <c r="C237">
        <v>9141065</v>
      </c>
      <c r="D237">
        <v>58800</v>
      </c>
      <c r="E237">
        <f t="shared" si="8"/>
        <v>9408</v>
      </c>
      <c r="F237">
        <v>11053.01881430253</v>
      </c>
      <c r="G237" t="s">
        <v>208</v>
      </c>
    </row>
    <row r="238" spans="1:7">
      <c r="A238" t="s">
        <v>87</v>
      </c>
      <c r="B238">
        <v>311082000</v>
      </c>
      <c r="C238">
        <v>9195157</v>
      </c>
      <c r="D238">
        <v>58800</v>
      </c>
      <c r="E238">
        <f t="shared" si="8"/>
        <v>9408</v>
      </c>
      <c r="F238">
        <v>4109.9815527563615</v>
      </c>
      <c r="G238" t="s">
        <v>208</v>
      </c>
    </row>
    <row r="239" spans="1:7">
      <c r="A239" t="s">
        <v>151</v>
      </c>
      <c r="B239">
        <v>311001127</v>
      </c>
      <c r="C239">
        <v>9823998</v>
      </c>
      <c r="D239">
        <v>8862.8250678745462</v>
      </c>
      <c r="E239">
        <f t="shared" si="8"/>
        <v>1418.0520108599273</v>
      </c>
      <c r="F239">
        <v>8862.8250678745462</v>
      </c>
      <c r="G239" t="s">
        <v>209</v>
      </c>
    </row>
    <row r="240" spans="1:7">
      <c r="A240" t="s">
        <v>152</v>
      </c>
      <c r="B240">
        <v>311020600</v>
      </c>
      <c r="C240">
        <v>9383936</v>
      </c>
      <c r="D240">
        <v>96000</v>
      </c>
      <c r="E240">
        <f t="shared" si="8"/>
        <v>15360</v>
      </c>
      <c r="F240">
        <v>11733.279003622369</v>
      </c>
      <c r="G240" t="s">
        <v>208</v>
      </c>
    </row>
    <row r="241" spans="1:7">
      <c r="A241" t="s">
        <v>328</v>
      </c>
      <c r="B241">
        <v>309997000</v>
      </c>
      <c r="C241">
        <v>7391422</v>
      </c>
      <c r="D241">
        <v>12800</v>
      </c>
      <c r="E241" s="3">
        <f t="shared" si="8"/>
        <v>2048</v>
      </c>
      <c r="F241">
        <v>4614</v>
      </c>
      <c r="G241" t="s">
        <v>208</v>
      </c>
    </row>
    <row r="242" spans="1:7">
      <c r="A242" t="s">
        <v>329</v>
      </c>
      <c r="B242">
        <v>255724000</v>
      </c>
      <c r="C242">
        <v>7358561</v>
      </c>
      <c r="D242">
        <v>15644</v>
      </c>
      <c r="E242" s="3">
        <f t="shared" si="8"/>
        <v>2503.04</v>
      </c>
      <c r="F242">
        <v>16795</v>
      </c>
      <c r="G242" t="s">
        <v>208</v>
      </c>
    </row>
    <row r="243" spans="1:7">
      <c r="A243" t="s">
        <v>188</v>
      </c>
      <c r="B243">
        <v>373297000</v>
      </c>
      <c r="C243">
        <v>7915096</v>
      </c>
      <c r="D243">
        <v>1381.8471640772425</v>
      </c>
      <c r="E243">
        <f>D243*0.16</f>
        <v>221.09554625235882</v>
      </c>
      <c r="F243">
        <v>1381.8471640772425</v>
      </c>
      <c r="G243" t="s">
        <v>208</v>
      </c>
    </row>
    <row r="244" spans="1:7">
      <c r="A244" t="s">
        <v>71</v>
      </c>
      <c r="B244">
        <v>255717000</v>
      </c>
      <c r="C244">
        <v>6602898</v>
      </c>
      <c r="D244">
        <v>12016</v>
      </c>
      <c r="E244">
        <f>D244*0.16</f>
        <v>1922.56</v>
      </c>
      <c r="F244">
        <v>3975.7748697949337</v>
      </c>
      <c r="G244" t="s">
        <v>208</v>
      </c>
    </row>
    <row r="245" spans="1:7">
      <c r="A245" t="s">
        <v>72</v>
      </c>
      <c r="B245">
        <v>309051000</v>
      </c>
      <c r="C245">
        <v>8913916</v>
      </c>
      <c r="D245">
        <v>15700</v>
      </c>
      <c r="E245">
        <f>D245*0.16</f>
        <v>2512</v>
      </c>
      <c r="F245">
        <v>502.78715653099937</v>
      </c>
      <c r="G245" t="s">
        <v>208</v>
      </c>
    </row>
    <row r="246" spans="1:7">
      <c r="A246" t="s">
        <v>330</v>
      </c>
      <c r="B246">
        <v>538006842</v>
      </c>
      <c r="C246">
        <v>9187899</v>
      </c>
      <c r="D246">
        <v>13500</v>
      </c>
      <c r="E246" s="3">
        <f>D246*0.16</f>
        <v>2160</v>
      </c>
      <c r="F246">
        <v>30277</v>
      </c>
      <c r="G246" t="s">
        <v>208</v>
      </c>
    </row>
    <row r="247" spans="1:7">
      <c r="A247" t="s">
        <v>18</v>
      </c>
      <c r="B247">
        <v>310473000</v>
      </c>
      <c r="C247">
        <v>9169550</v>
      </c>
      <c r="D247">
        <v>8668.3476568002388</v>
      </c>
      <c r="E247">
        <f>D247*0.16</f>
        <v>1386.9356250880383</v>
      </c>
      <c r="F247">
        <v>8668.3476568002388</v>
      </c>
      <c r="G247" t="s">
        <v>208</v>
      </c>
    </row>
    <row r="248" spans="1:7">
      <c r="A248" t="s">
        <v>153</v>
      </c>
      <c r="B248">
        <v>311000912</v>
      </c>
      <c r="C248">
        <v>9795737</v>
      </c>
      <c r="D248">
        <v>67200</v>
      </c>
      <c r="E248">
        <f>D248*0.16</f>
        <v>10752</v>
      </c>
      <c r="F248">
        <v>7135.6105018017615</v>
      </c>
      <c r="G248" t="s">
        <v>208</v>
      </c>
    </row>
    <row r="249" spans="1:7">
      <c r="A249" t="s">
        <v>154</v>
      </c>
      <c r="B249">
        <v>245417000</v>
      </c>
      <c r="C249">
        <v>9221281</v>
      </c>
      <c r="D249">
        <v>35240</v>
      </c>
      <c r="E249">
        <f>D249*0.16</f>
        <v>5638.4000000000005</v>
      </c>
      <c r="F249">
        <v>7705.0905590071352</v>
      </c>
      <c r="G249" t="s">
        <v>208</v>
      </c>
    </row>
    <row r="250" spans="1:7">
      <c r="A250" t="s">
        <v>1</v>
      </c>
      <c r="B250">
        <v>310529000</v>
      </c>
      <c r="C250">
        <v>9050137</v>
      </c>
      <c r="D250">
        <v>59656</v>
      </c>
      <c r="E250">
        <f>D250*0.16</f>
        <v>9544.9600000000009</v>
      </c>
      <c r="F250">
        <v>4855.2654350337098</v>
      </c>
      <c r="G250" t="s">
        <v>208</v>
      </c>
    </row>
    <row r="251" spans="1:7">
      <c r="A251" t="s">
        <v>331</v>
      </c>
      <c r="B251">
        <v>311000397</v>
      </c>
      <c r="C251">
        <v>9697753</v>
      </c>
      <c r="D251">
        <v>67200</v>
      </c>
      <c r="E251" s="3">
        <f>D251*0.16</f>
        <v>10752</v>
      </c>
      <c r="F251">
        <v>167800</v>
      </c>
      <c r="G251" t="s">
        <v>208</v>
      </c>
    </row>
    <row r="252" spans="1:7">
      <c r="A252" t="s">
        <v>189</v>
      </c>
      <c r="B252">
        <v>310504000</v>
      </c>
      <c r="C252">
        <v>9187887</v>
      </c>
      <c r="D252">
        <v>13500</v>
      </c>
      <c r="E252">
        <f>D252*0.16</f>
        <v>2160</v>
      </c>
      <c r="F252">
        <v>4076.0452165501083</v>
      </c>
      <c r="G252" t="s">
        <v>208</v>
      </c>
    </row>
    <row r="253" spans="1:7">
      <c r="A253" t="s">
        <v>332</v>
      </c>
      <c r="B253">
        <v>357189000</v>
      </c>
      <c r="C253">
        <v>9000259</v>
      </c>
      <c r="D253">
        <v>28000</v>
      </c>
      <c r="E253" s="3">
        <f>D253*0.16</f>
        <v>4480</v>
      </c>
      <c r="F253">
        <v>77441</v>
      </c>
      <c r="G253" t="s">
        <v>208</v>
      </c>
    </row>
    <row r="254" spans="1:7">
      <c r="A254" t="s">
        <v>333</v>
      </c>
      <c r="B254">
        <v>255987000</v>
      </c>
      <c r="C254">
        <v>5282483</v>
      </c>
      <c r="D254">
        <v>9708</v>
      </c>
      <c r="E254" s="3">
        <f>D254*0.16</f>
        <v>1553.28</v>
      </c>
      <c r="F254">
        <v>16531</v>
      </c>
      <c r="G254" t="s">
        <v>208</v>
      </c>
    </row>
    <row r="255" spans="1:7">
      <c r="A255" s="6" t="s">
        <v>190</v>
      </c>
      <c r="B255" s="6">
        <v>311000840</v>
      </c>
      <c r="C255" s="6">
        <v>8700280</v>
      </c>
      <c r="D255">
        <v>21120</v>
      </c>
      <c r="E255" s="6">
        <f>D255*0.16</f>
        <v>3379.2000000000003</v>
      </c>
      <c r="F255" s="6">
        <v>6814.1115612073963</v>
      </c>
      <c r="G255" s="6" t="s">
        <v>208</v>
      </c>
    </row>
    <row r="256" spans="1:7">
      <c r="A256" t="s">
        <v>334</v>
      </c>
      <c r="B256">
        <v>311000267</v>
      </c>
      <c r="C256">
        <v>9549463</v>
      </c>
      <c r="D256">
        <v>67200</v>
      </c>
      <c r="E256" s="3">
        <f>D256*0.16</f>
        <v>10752</v>
      </c>
      <c r="F256" s="6">
        <v>168666</v>
      </c>
      <c r="G256" s="6" t="s">
        <v>208</v>
      </c>
    </row>
    <row r="257" spans="1:7">
      <c r="A257" t="s">
        <v>155</v>
      </c>
      <c r="B257">
        <v>310835000</v>
      </c>
      <c r="C257">
        <v>9839399</v>
      </c>
      <c r="D257">
        <v>50400</v>
      </c>
      <c r="E257">
        <f>D257*0.16</f>
        <v>8064</v>
      </c>
      <c r="F257">
        <v>7663.8674257964431</v>
      </c>
      <c r="G257" t="s">
        <v>208</v>
      </c>
    </row>
    <row r="258" spans="1:7">
      <c r="A258" t="s">
        <v>63</v>
      </c>
      <c r="B258">
        <v>310625000</v>
      </c>
      <c r="C258">
        <v>9477438</v>
      </c>
      <c r="D258">
        <v>64000</v>
      </c>
      <c r="E258">
        <f>D258*0.16</f>
        <v>10240</v>
      </c>
      <c r="F258">
        <v>91000</v>
      </c>
      <c r="G258" t="s">
        <v>208</v>
      </c>
    </row>
    <row r="259" spans="1:7">
      <c r="A259" t="s">
        <v>335</v>
      </c>
      <c r="B259">
        <v>310627000</v>
      </c>
      <c r="C259">
        <v>9241061</v>
      </c>
      <c r="D259">
        <v>117075</v>
      </c>
      <c r="E259" s="3">
        <f>D259*0.16</f>
        <v>18732</v>
      </c>
      <c r="F259">
        <v>149215</v>
      </c>
      <c r="G259" t="s">
        <v>208</v>
      </c>
    </row>
    <row r="260" spans="1:7">
      <c r="A260" t="s">
        <v>17</v>
      </c>
      <c r="B260">
        <v>310624000</v>
      </c>
      <c r="C260">
        <v>9320556</v>
      </c>
      <c r="D260">
        <v>63400</v>
      </c>
      <c r="E260">
        <f>D260*0.16</f>
        <v>10144</v>
      </c>
      <c r="F260">
        <v>12258.073614351026</v>
      </c>
      <c r="G260" t="s">
        <v>208</v>
      </c>
    </row>
    <row r="261" spans="1:7">
      <c r="A261" t="s">
        <v>336</v>
      </c>
      <c r="B261">
        <v>256878000</v>
      </c>
      <c r="C261">
        <v>8000214</v>
      </c>
      <c r="D261">
        <v>1470</v>
      </c>
      <c r="E261" s="3">
        <f>D261*0.16</f>
        <v>235.20000000000002</v>
      </c>
      <c r="F261">
        <v>2920</v>
      </c>
      <c r="G261" t="s">
        <v>209</v>
      </c>
    </row>
    <row r="262" spans="1:7">
      <c r="A262" t="s">
        <v>337</v>
      </c>
      <c r="B262">
        <v>310674000</v>
      </c>
      <c r="C262">
        <v>9584724</v>
      </c>
      <c r="D262">
        <v>14400</v>
      </c>
      <c r="E262" s="3">
        <f>D262*0.16</f>
        <v>2304</v>
      </c>
      <c r="F262">
        <v>142714</v>
      </c>
      <c r="G262" s="6" t="s">
        <v>208</v>
      </c>
    </row>
    <row r="263" spans="1:7">
      <c r="A263" s="6" t="s">
        <v>156</v>
      </c>
      <c r="B263" s="6">
        <v>310805000</v>
      </c>
      <c r="C263" s="6">
        <v>8919257</v>
      </c>
      <c r="D263">
        <v>34560</v>
      </c>
      <c r="E263" s="6">
        <f t="shared" ref="E263:E272" si="9">D263*0.16</f>
        <v>5529.6</v>
      </c>
      <c r="F263" s="6">
        <v>3100.2107505022568</v>
      </c>
      <c r="G263" s="6" t="s">
        <v>208</v>
      </c>
    </row>
    <row r="264" spans="1:7">
      <c r="A264" s="6" t="s">
        <v>157</v>
      </c>
      <c r="B264" s="6">
        <v>311001056</v>
      </c>
      <c r="C264" s="6">
        <v>9805348</v>
      </c>
      <c r="D264">
        <v>48000</v>
      </c>
      <c r="E264" s="6">
        <f t="shared" si="9"/>
        <v>7680</v>
      </c>
      <c r="F264" s="6">
        <v>7705.0905590071352</v>
      </c>
      <c r="G264" s="6" t="s">
        <v>208</v>
      </c>
    </row>
    <row r="265" spans="1:7">
      <c r="A265" s="6" t="s">
        <v>58</v>
      </c>
      <c r="B265" s="6">
        <v>311805000</v>
      </c>
      <c r="C265" s="6">
        <v>9116864</v>
      </c>
      <c r="D265">
        <v>13034.260330078956</v>
      </c>
      <c r="E265" s="6">
        <f t="shared" si="9"/>
        <v>2085.481652812633</v>
      </c>
      <c r="F265" s="6">
        <v>13034.260330078956</v>
      </c>
      <c r="G265" s="6" t="s">
        <v>208</v>
      </c>
    </row>
    <row r="266" spans="1:7">
      <c r="A266" s="6" t="s">
        <v>31</v>
      </c>
      <c r="B266" s="6" t="s">
        <v>210</v>
      </c>
      <c r="C266" s="6">
        <v>9438078</v>
      </c>
      <c r="D266">
        <v>42000</v>
      </c>
      <c r="E266" s="6">
        <f t="shared" si="9"/>
        <v>6720</v>
      </c>
      <c r="F266" s="6">
        <v>10255.747848118008</v>
      </c>
      <c r="G266" s="6" t="s">
        <v>208</v>
      </c>
    </row>
    <row r="267" spans="1:7">
      <c r="A267" s="6" t="s">
        <v>31</v>
      </c>
      <c r="B267" s="6" t="s">
        <v>210</v>
      </c>
      <c r="C267" s="6">
        <v>9438078</v>
      </c>
      <c r="D267">
        <v>42000</v>
      </c>
      <c r="E267" s="6">
        <f t="shared" si="9"/>
        <v>6720</v>
      </c>
      <c r="F267" s="6">
        <v>7505.5354273808043</v>
      </c>
      <c r="G267" s="6" t="s">
        <v>208</v>
      </c>
    </row>
    <row r="268" spans="1:7">
      <c r="A268" s="6" t="s">
        <v>67</v>
      </c>
      <c r="B268" s="6">
        <v>311000987</v>
      </c>
      <c r="C268" s="6">
        <v>9477438</v>
      </c>
      <c r="D268">
        <v>50400</v>
      </c>
      <c r="E268" s="6">
        <f t="shared" si="9"/>
        <v>8064</v>
      </c>
      <c r="F268" s="6">
        <v>7303.152481004845</v>
      </c>
      <c r="G268" s="6" t="s">
        <v>208</v>
      </c>
    </row>
    <row r="269" spans="1:7">
      <c r="A269" s="6" t="s">
        <v>83</v>
      </c>
      <c r="B269" s="6">
        <v>215813000</v>
      </c>
      <c r="C269" s="6">
        <v>8712178</v>
      </c>
      <c r="D269">
        <v>3730</v>
      </c>
      <c r="E269" s="6">
        <f t="shared" si="9"/>
        <v>596.80000000000007</v>
      </c>
      <c r="F269" s="6">
        <v>3770.172701097692</v>
      </c>
      <c r="G269" s="6" t="s">
        <v>208</v>
      </c>
    </row>
    <row r="270" spans="1:7">
      <c r="A270" s="6" t="s">
        <v>62</v>
      </c>
      <c r="B270" s="6">
        <v>310661000</v>
      </c>
      <c r="C270" s="6">
        <v>9584712</v>
      </c>
      <c r="D270">
        <v>62400</v>
      </c>
      <c r="E270" s="6">
        <f t="shared" si="9"/>
        <v>9984</v>
      </c>
      <c r="F270" s="6">
        <v>267.18557124676079</v>
      </c>
      <c r="G270" s="6" t="s">
        <v>208</v>
      </c>
    </row>
    <row r="271" spans="1:7">
      <c r="A271" t="s">
        <v>338</v>
      </c>
      <c r="B271">
        <v>310567000</v>
      </c>
      <c r="C271">
        <v>9378462</v>
      </c>
      <c r="D271">
        <v>25000</v>
      </c>
      <c r="E271" s="3">
        <f t="shared" si="9"/>
        <v>4000</v>
      </c>
      <c r="F271" s="6">
        <v>113561</v>
      </c>
      <c r="G271" s="6" t="s">
        <v>208</v>
      </c>
    </row>
    <row r="272" spans="1:7">
      <c r="A272" t="s">
        <v>339</v>
      </c>
      <c r="B272" t="s">
        <v>210</v>
      </c>
      <c r="C272">
        <v>8919269</v>
      </c>
      <c r="D272">
        <v>34560</v>
      </c>
      <c r="E272" s="3">
        <f t="shared" si="9"/>
        <v>5529.6</v>
      </c>
      <c r="F272" s="6">
        <v>99500</v>
      </c>
      <c r="G272" s="6" t="s">
        <v>208</v>
      </c>
    </row>
    <row r="273" spans="1:7">
      <c r="A273" s="6" t="s">
        <v>82</v>
      </c>
      <c r="B273" s="6">
        <v>256878000</v>
      </c>
      <c r="C273" s="6">
        <v>8000214</v>
      </c>
      <c r="D273">
        <v>1816.859704732841</v>
      </c>
      <c r="E273" s="6">
        <f>D273*0.16</f>
        <v>290.69755275725458</v>
      </c>
      <c r="F273" s="6">
        <v>1816.859704732841</v>
      </c>
      <c r="G273" s="6" t="s">
        <v>208</v>
      </c>
    </row>
    <row r="274" spans="1:7">
      <c r="A274" t="s">
        <v>340</v>
      </c>
      <c r="B274">
        <v>311000198</v>
      </c>
      <c r="C274">
        <v>7214715</v>
      </c>
      <c r="D274">
        <v>17650</v>
      </c>
      <c r="E274" s="3">
        <f>D274*0.16</f>
        <v>2824</v>
      </c>
      <c r="F274" s="6">
        <v>24492</v>
      </c>
      <c r="G274" s="6" t="s">
        <v>208</v>
      </c>
    </row>
    <row r="275" spans="1:7">
      <c r="A275" s="6" t="s">
        <v>191</v>
      </c>
      <c r="B275" s="6">
        <v>311000978</v>
      </c>
      <c r="C275" s="6">
        <v>7822457</v>
      </c>
      <c r="D275">
        <v>21270</v>
      </c>
      <c r="E275" s="6">
        <f>D275*0.16</f>
        <v>3403.2000000000003</v>
      </c>
      <c r="F275" s="6">
        <v>488.53776572671637</v>
      </c>
      <c r="G275" s="6" t="s">
        <v>208</v>
      </c>
    </row>
    <row r="276" spans="1:7">
      <c r="A276" t="s">
        <v>341</v>
      </c>
      <c r="B276">
        <v>235103357</v>
      </c>
      <c r="C276">
        <v>9228186</v>
      </c>
      <c r="D276">
        <v>35700</v>
      </c>
      <c r="E276" s="3">
        <f>D276*0.16</f>
        <v>5712</v>
      </c>
      <c r="F276" s="6">
        <v>115875</v>
      </c>
      <c r="G276" s="6" t="s">
        <v>208</v>
      </c>
    </row>
    <row r="277" spans="1:7">
      <c r="A277" s="6" t="s">
        <v>158</v>
      </c>
      <c r="B277" s="6">
        <v>311000995</v>
      </c>
      <c r="C277" s="6">
        <v>9804801</v>
      </c>
      <c r="D277">
        <v>32000</v>
      </c>
      <c r="E277" s="6">
        <f>D277*0.16</f>
        <v>5120</v>
      </c>
      <c r="F277" s="6">
        <v>6067.2959260236285</v>
      </c>
      <c r="G277" s="6" t="s">
        <v>209</v>
      </c>
    </row>
    <row r="278" spans="1:7">
      <c r="A278" s="6" t="s">
        <v>159</v>
      </c>
      <c r="B278" s="6">
        <v>215855000</v>
      </c>
      <c r="C278" s="6">
        <v>9797371</v>
      </c>
      <c r="D278">
        <v>7580.9807220698031</v>
      </c>
      <c r="E278" s="6">
        <f>D278*0.16</f>
        <v>1212.9569155311685</v>
      </c>
      <c r="F278" s="6">
        <v>7580.9807220698031</v>
      </c>
      <c r="G278" s="6" t="s">
        <v>208</v>
      </c>
    </row>
    <row r="279" spans="1:7">
      <c r="A279" t="s">
        <v>342</v>
      </c>
      <c r="B279">
        <v>238269640</v>
      </c>
      <c r="C279">
        <v>9850460</v>
      </c>
      <c r="D279">
        <v>11520</v>
      </c>
      <c r="E279" s="3">
        <f>D279*0.16</f>
        <v>1843.2</v>
      </c>
      <c r="F279" s="6">
        <v>17592</v>
      </c>
      <c r="G279" s="6" t="s">
        <v>208</v>
      </c>
    </row>
    <row r="280" spans="1:7">
      <c r="A280" t="s">
        <v>343</v>
      </c>
      <c r="B280">
        <v>256084000</v>
      </c>
      <c r="C280">
        <v>8843446</v>
      </c>
      <c r="D280">
        <v>2200</v>
      </c>
      <c r="E280" s="3">
        <f>D280*0.16</f>
        <v>352</v>
      </c>
      <c r="F280" s="6">
        <v>2532</v>
      </c>
      <c r="G280" s="6" t="s">
        <v>208</v>
      </c>
    </row>
    <row r="281" spans="1:7">
      <c r="A281" t="s">
        <v>344</v>
      </c>
      <c r="B281">
        <v>248953000</v>
      </c>
      <c r="C281">
        <v>9171292</v>
      </c>
      <c r="D281">
        <v>2480</v>
      </c>
      <c r="E281" s="6">
        <f>D281*0.16</f>
        <v>396.8</v>
      </c>
      <c r="F281" s="6">
        <v>791.16522992060038</v>
      </c>
      <c r="G281" s="6" t="s">
        <v>208</v>
      </c>
    </row>
    <row r="282" spans="1:7">
      <c r="A282" s="6" t="s">
        <v>160</v>
      </c>
      <c r="B282" s="6">
        <v>311000585</v>
      </c>
      <c r="C282" s="6">
        <v>9483712</v>
      </c>
      <c r="D282">
        <v>8919.3468182184006</v>
      </c>
      <c r="E282" s="6">
        <f>D282*0.16</f>
        <v>1427.0954909149441</v>
      </c>
      <c r="F282" s="6">
        <v>8919.3468182184006</v>
      </c>
      <c r="G282" s="6" t="s">
        <v>208</v>
      </c>
    </row>
    <row r="283" spans="1:7">
      <c r="A283" t="s">
        <v>345</v>
      </c>
      <c r="B283">
        <v>636020325</v>
      </c>
      <c r="C283">
        <v>9150913</v>
      </c>
      <c r="D283">
        <v>46080</v>
      </c>
      <c r="E283" s="3">
        <f>D283*0.16</f>
        <v>7372.8</v>
      </c>
      <c r="F283" s="6">
        <v>77499</v>
      </c>
      <c r="G283" s="6" t="s">
        <v>208</v>
      </c>
    </row>
    <row r="284" spans="1:7">
      <c r="A284" s="6" t="s">
        <v>99</v>
      </c>
      <c r="B284" s="6">
        <v>311000464</v>
      </c>
      <c r="C284" s="6">
        <v>9731171</v>
      </c>
      <c r="D284">
        <v>23040</v>
      </c>
      <c r="E284" s="6">
        <f>D284*0.16</f>
        <v>3686.4</v>
      </c>
      <c r="F284" s="6">
        <v>647.76305655591523</v>
      </c>
      <c r="G284" s="6" t="s">
        <v>208</v>
      </c>
    </row>
    <row r="285" spans="1:7">
      <c r="A285" t="s">
        <v>346</v>
      </c>
      <c r="B285">
        <v>311085000</v>
      </c>
      <c r="C285">
        <v>9008598</v>
      </c>
      <c r="D285">
        <v>7280</v>
      </c>
      <c r="E285" s="3">
        <f>D285*0.16</f>
        <v>1164.8</v>
      </c>
      <c r="F285" s="6">
        <v>9961</v>
      </c>
      <c r="G285" s="6" t="s">
        <v>208</v>
      </c>
    </row>
    <row r="286" spans="1:7">
      <c r="A286" s="6" t="s">
        <v>86</v>
      </c>
      <c r="B286" s="6">
        <v>311000464</v>
      </c>
      <c r="C286" s="6">
        <v>9417086</v>
      </c>
      <c r="D286">
        <v>23040</v>
      </c>
      <c r="E286" s="6">
        <f>D286*0.16</f>
        <v>3686.4</v>
      </c>
      <c r="F286" s="6">
        <v>1381.8471640772425</v>
      </c>
      <c r="G286" s="6" t="s">
        <v>208</v>
      </c>
    </row>
    <row r="287" spans="1:7">
      <c r="A287" s="6" t="s">
        <v>161</v>
      </c>
      <c r="B287" s="6">
        <v>311027100</v>
      </c>
      <c r="C287" s="6">
        <v>9764958</v>
      </c>
      <c r="D287">
        <v>23040</v>
      </c>
      <c r="E287" s="6">
        <f>D287*0.16</f>
        <v>3686.4</v>
      </c>
      <c r="F287" s="6">
        <v>8956.3384375354763</v>
      </c>
      <c r="G287" s="6" t="s">
        <v>208</v>
      </c>
    </row>
    <row r="288" spans="1:7">
      <c r="A288" t="s">
        <v>347</v>
      </c>
      <c r="B288">
        <v>311084000</v>
      </c>
      <c r="C288">
        <v>8707343</v>
      </c>
      <c r="D288">
        <v>7375</v>
      </c>
      <c r="E288" s="3">
        <f>D288*0.16</f>
        <v>1180</v>
      </c>
      <c r="F288" s="6">
        <v>12995</v>
      </c>
      <c r="G288" s="6" t="s">
        <v>208</v>
      </c>
    </row>
    <row r="289" spans="1:7">
      <c r="A289" t="s">
        <v>348</v>
      </c>
      <c r="B289">
        <v>311001081</v>
      </c>
      <c r="C289">
        <v>9862035</v>
      </c>
      <c r="D289" s="6">
        <v>23000</v>
      </c>
      <c r="E289" s="3">
        <f>D289*0.16</f>
        <v>3680</v>
      </c>
      <c r="F289" s="6">
        <v>23615</v>
      </c>
      <c r="G289" s="6" t="s">
        <v>208</v>
      </c>
    </row>
    <row r="290" spans="1:7">
      <c r="A290" s="6" t="s">
        <v>98</v>
      </c>
      <c r="B290" s="6">
        <v>311038900</v>
      </c>
      <c r="C290" s="6">
        <v>9483126</v>
      </c>
      <c r="D290">
        <v>23040</v>
      </c>
      <c r="E290" s="6">
        <f>D290*0.16</f>
        <v>3686.4</v>
      </c>
      <c r="F290" s="6">
        <v>8078.9304693408258</v>
      </c>
      <c r="G290" s="6" t="s">
        <v>208</v>
      </c>
    </row>
    <row r="291" spans="1:7">
      <c r="A291" s="6" t="s">
        <v>162</v>
      </c>
      <c r="B291" s="6">
        <v>311492000</v>
      </c>
      <c r="C291" s="6">
        <v>9417098</v>
      </c>
      <c r="D291">
        <v>5284.8168756849327</v>
      </c>
      <c r="E291" s="6">
        <f>D291*0.16</f>
        <v>845.57070010958921</v>
      </c>
      <c r="F291" s="6">
        <v>5284.8168756849327</v>
      </c>
      <c r="G291" s="6" t="s">
        <v>208</v>
      </c>
    </row>
    <row r="292" spans="1:7">
      <c r="A292" t="s">
        <v>349</v>
      </c>
      <c r="B292">
        <v>311083000</v>
      </c>
      <c r="C292">
        <v>8807997</v>
      </c>
      <c r="D292">
        <v>7280</v>
      </c>
      <c r="E292" s="3">
        <f>D292*0.16</f>
        <v>1164.8</v>
      </c>
      <c r="F292" s="6">
        <v>9975</v>
      </c>
      <c r="G292" s="6" t="s">
        <v>208</v>
      </c>
    </row>
    <row r="293" spans="1:7">
      <c r="A293" t="s">
        <v>350</v>
      </c>
      <c r="B293">
        <v>311000930</v>
      </c>
      <c r="C293">
        <v>9862023</v>
      </c>
      <c r="D293">
        <v>12000</v>
      </c>
      <c r="E293" s="3">
        <f>D293*0.16</f>
        <v>1920</v>
      </c>
      <c r="F293" s="6">
        <v>23000</v>
      </c>
      <c r="G293" s="6" t="s">
        <v>208</v>
      </c>
    </row>
    <row r="294" spans="1:7">
      <c r="A294" t="s">
        <v>351</v>
      </c>
      <c r="B294" s="6">
        <v>308908000</v>
      </c>
      <c r="C294" s="6">
        <v>8203438</v>
      </c>
      <c r="D294">
        <v>12157.483867220111</v>
      </c>
      <c r="E294" s="6">
        <f t="shared" ref="E294:E356" si="10">D294*0.16</f>
        <v>1945.1974187552178</v>
      </c>
      <c r="F294" s="6">
        <v>12157.483867220111</v>
      </c>
      <c r="G294" s="6" t="s">
        <v>208</v>
      </c>
    </row>
    <row r="295" spans="1:7">
      <c r="A295" t="s">
        <v>352</v>
      </c>
      <c r="B295" s="6">
        <v>308311000</v>
      </c>
      <c r="C295" s="6">
        <v>8203440</v>
      </c>
      <c r="D295">
        <v>879.25566100891945</v>
      </c>
      <c r="E295" s="6">
        <f t="shared" si="10"/>
        <v>140.68090576142711</v>
      </c>
      <c r="F295" s="6">
        <v>879.25566100891945</v>
      </c>
      <c r="G295" s="6" t="s">
        <v>208</v>
      </c>
    </row>
    <row r="296" spans="1:7">
      <c r="A296" s="6" t="s">
        <v>163</v>
      </c>
      <c r="B296" s="6">
        <v>311492000</v>
      </c>
      <c r="C296" s="6">
        <v>9228344</v>
      </c>
      <c r="D296">
        <v>58000</v>
      </c>
      <c r="E296" s="6">
        <f t="shared" si="10"/>
        <v>9280</v>
      </c>
      <c r="F296" s="6">
        <v>5036.0747208206476</v>
      </c>
      <c r="G296" s="6" t="s">
        <v>208</v>
      </c>
    </row>
    <row r="297" spans="1:7">
      <c r="A297" t="s">
        <v>353</v>
      </c>
      <c r="B297" s="6">
        <v>376439000</v>
      </c>
      <c r="C297" s="6">
        <v>5142657</v>
      </c>
      <c r="D297">
        <v>2538</v>
      </c>
      <c r="E297" s="6">
        <f t="shared" si="10"/>
        <v>406.08</v>
      </c>
      <c r="F297" s="6">
        <v>2949.4421602555317</v>
      </c>
      <c r="G297" s="6" t="s">
        <v>208</v>
      </c>
    </row>
    <row r="298" spans="1:7">
      <c r="A298" s="6" t="s">
        <v>30</v>
      </c>
      <c r="B298" s="6">
        <v>538006712</v>
      </c>
      <c r="C298" s="6">
        <v>9703150</v>
      </c>
      <c r="D298">
        <v>32000</v>
      </c>
      <c r="E298" s="6">
        <f t="shared" si="10"/>
        <v>5120</v>
      </c>
      <c r="F298" s="6">
        <v>10314.760803044104</v>
      </c>
      <c r="G298" s="6" t="s">
        <v>208</v>
      </c>
    </row>
    <row r="299" spans="1:7">
      <c r="A299" s="6" t="s">
        <v>164</v>
      </c>
      <c r="B299" s="6">
        <v>538010706</v>
      </c>
      <c r="C299" s="6">
        <v>9877444</v>
      </c>
      <c r="D299">
        <v>5014.2778889651399</v>
      </c>
      <c r="E299" s="6">
        <f t="shared" si="10"/>
        <v>802.28446223442245</v>
      </c>
      <c r="F299" s="6">
        <v>5014.2778889651399</v>
      </c>
      <c r="G299" s="6" t="s">
        <v>208</v>
      </c>
    </row>
    <row r="300" spans="1:7">
      <c r="A300" s="6" t="s">
        <v>165</v>
      </c>
      <c r="B300" s="6">
        <v>311622000</v>
      </c>
      <c r="C300" s="6">
        <v>9210139</v>
      </c>
      <c r="D300">
        <f>4*7920</f>
        <v>31680</v>
      </c>
      <c r="E300" s="6">
        <f t="shared" si="10"/>
        <v>5068.8</v>
      </c>
      <c r="F300" s="6">
        <v>4166.0117772790309</v>
      </c>
      <c r="G300" s="6" t="s">
        <v>208</v>
      </c>
    </row>
    <row r="301" spans="1:7">
      <c r="A301" s="6" t="s">
        <v>42</v>
      </c>
      <c r="B301" s="6">
        <v>311050600</v>
      </c>
      <c r="C301" s="6">
        <v>9064126</v>
      </c>
      <c r="D301">
        <v>12289.437418903139</v>
      </c>
      <c r="E301" s="6">
        <f t="shared" si="10"/>
        <v>1966.3099870245023</v>
      </c>
      <c r="F301" s="6">
        <v>12289.437418903139</v>
      </c>
      <c r="G301" s="6" t="s">
        <v>208</v>
      </c>
    </row>
    <row r="302" spans="1:7">
      <c r="A302" s="6" t="s">
        <v>203</v>
      </c>
      <c r="B302" s="6">
        <v>538007673</v>
      </c>
      <c r="C302" s="6">
        <v>9807085</v>
      </c>
      <c r="D302">
        <f>4*8000</f>
        <v>32000</v>
      </c>
      <c r="E302" s="6">
        <f t="shared" si="10"/>
        <v>5120</v>
      </c>
      <c r="F302" s="6">
        <v>4166.0117772790309</v>
      </c>
      <c r="G302" s="6" t="s">
        <v>208</v>
      </c>
    </row>
    <row r="303" spans="1:7">
      <c r="A303" s="6" t="s">
        <v>24</v>
      </c>
      <c r="B303" s="6">
        <v>311513000</v>
      </c>
      <c r="C303" s="6">
        <v>9247144</v>
      </c>
      <c r="D303">
        <v>23040</v>
      </c>
      <c r="E303" s="6">
        <f t="shared" si="10"/>
        <v>3686.4</v>
      </c>
      <c r="F303" s="6">
        <v>11560.097011489053</v>
      </c>
      <c r="G303" s="6" t="s">
        <v>208</v>
      </c>
    </row>
    <row r="304" spans="1:7">
      <c r="A304" s="6" t="s">
        <v>74</v>
      </c>
      <c r="B304" s="6">
        <v>309027000</v>
      </c>
      <c r="C304" s="6">
        <v>8903923</v>
      </c>
      <c r="D304">
        <v>14000</v>
      </c>
      <c r="E304" s="6">
        <f t="shared" si="10"/>
        <v>2240</v>
      </c>
      <c r="F304" s="6">
        <v>313.70241884288708</v>
      </c>
      <c r="G304" s="6" t="s">
        <v>208</v>
      </c>
    </row>
    <row r="305" spans="1:7">
      <c r="A305" s="6" t="s">
        <v>166</v>
      </c>
      <c r="B305" s="6">
        <v>311001044</v>
      </c>
      <c r="C305" s="6">
        <v>9857937</v>
      </c>
      <c r="D305">
        <f>4*8000</f>
        <v>32000</v>
      </c>
      <c r="E305" s="6">
        <f t="shared" si="10"/>
        <v>5120</v>
      </c>
      <c r="F305" s="6">
        <v>4166.0117772790309</v>
      </c>
      <c r="G305" s="6" t="s">
        <v>208</v>
      </c>
    </row>
    <row r="306" spans="1:7">
      <c r="A306" t="s">
        <v>354</v>
      </c>
      <c r="B306">
        <v>311562000</v>
      </c>
      <c r="C306">
        <v>8806747</v>
      </c>
      <c r="D306">
        <v>4500</v>
      </c>
      <c r="E306" s="6">
        <f t="shared" si="10"/>
        <v>720</v>
      </c>
      <c r="F306" s="6">
        <v>6072</v>
      </c>
      <c r="G306" s="6" t="s">
        <v>208</v>
      </c>
    </row>
    <row r="307" spans="1:7">
      <c r="A307" s="6" t="s">
        <v>167</v>
      </c>
      <c r="B307" s="6">
        <v>311000719</v>
      </c>
      <c r="C307" s="6">
        <v>9838618</v>
      </c>
      <c r="D307">
        <v>17000</v>
      </c>
      <c r="E307" s="6">
        <f t="shared" si="10"/>
        <v>2720</v>
      </c>
      <c r="F307" s="6">
        <v>8791.3191768759625</v>
      </c>
      <c r="G307" s="6" t="s">
        <v>208</v>
      </c>
    </row>
    <row r="308" spans="1:7">
      <c r="A308" s="6" t="s">
        <v>21</v>
      </c>
      <c r="B308" s="6">
        <v>311000637</v>
      </c>
      <c r="C308" s="6">
        <v>9784350</v>
      </c>
      <c r="D308">
        <v>17000</v>
      </c>
      <c r="E308" s="6">
        <f t="shared" si="10"/>
        <v>2720</v>
      </c>
      <c r="F308" s="6">
        <v>736.87503958250568</v>
      </c>
      <c r="G308" s="6" t="s">
        <v>208</v>
      </c>
    </row>
    <row r="309" spans="1:7">
      <c r="A309" t="s">
        <v>355</v>
      </c>
      <c r="B309">
        <v>311001189</v>
      </c>
      <c r="C309">
        <v>9886213</v>
      </c>
      <c r="D309">
        <v>26100</v>
      </c>
      <c r="E309" s="6">
        <f t="shared" si="10"/>
        <v>4176</v>
      </c>
      <c r="F309" s="6">
        <v>54700</v>
      </c>
      <c r="G309" s="6" t="s">
        <v>209</v>
      </c>
    </row>
    <row r="310" spans="1:7">
      <c r="A310" s="6" t="s">
        <v>168</v>
      </c>
      <c r="B310" s="6">
        <v>311001496</v>
      </c>
      <c r="C310" s="6">
        <v>9886225</v>
      </c>
      <c r="D310">
        <v>4000</v>
      </c>
      <c r="E310" s="6">
        <f t="shared" si="10"/>
        <v>640</v>
      </c>
      <c r="F310" s="6">
        <v>8791.3191768759625</v>
      </c>
      <c r="G310" s="6" t="s">
        <v>209</v>
      </c>
    </row>
    <row r="311" spans="1:7">
      <c r="A311" t="s">
        <v>356</v>
      </c>
      <c r="B311">
        <v>308628000</v>
      </c>
      <c r="C311">
        <v>9192167</v>
      </c>
      <c r="D311">
        <v>15700</v>
      </c>
      <c r="E311" s="6">
        <f t="shared" si="10"/>
        <v>2512</v>
      </c>
      <c r="F311" s="6">
        <v>28258</v>
      </c>
      <c r="G311" s="6" t="s">
        <v>208</v>
      </c>
    </row>
    <row r="312" spans="1:7">
      <c r="A312" s="6" t="s">
        <v>9</v>
      </c>
      <c r="B312" s="6">
        <v>311022500</v>
      </c>
      <c r="C312" s="6">
        <v>9437866</v>
      </c>
      <c r="D312">
        <v>17000</v>
      </c>
      <c r="E312" s="6">
        <f t="shared" si="10"/>
        <v>2720</v>
      </c>
      <c r="F312" s="6">
        <v>4325.3809540378725</v>
      </c>
      <c r="G312" s="6" t="s">
        <v>208</v>
      </c>
    </row>
    <row r="313" spans="1:7">
      <c r="A313" s="6" t="s">
        <v>73</v>
      </c>
      <c r="B313" s="6">
        <v>308322000</v>
      </c>
      <c r="C313" s="6">
        <v>9192179</v>
      </c>
      <c r="D313">
        <v>11700</v>
      </c>
      <c r="E313" s="6">
        <f t="shared" si="10"/>
        <v>1872</v>
      </c>
      <c r="F313" s="6">
        <v>502.78715653099937</v>
      </c>
      <c r="G313" s="6" t="s">
        <v>208</v>
      </c>
    </row>
    <row r="314" spans="1:7">
      <c r="A314" s="6" t="s">
        <v>48</v>
      </c>
      <c r="B314" s="6">
        <v>308814000</v>
      </c>
      <c r="C314" s="6">
        <v>8903935</v>
      </c>
      <c r="D314">
        <v>11.7</v>
      </c>
      <c r="E314" s="6">
        <f t="shared" si="10"/>
        <v>1.8719999999999999</v>
      </c>
      <c r="F314" s="6">
        <v>9228.6869451633902</v>
      </c>
      <c r="G314" s="6" t="s">
        <v>208</v>
      </c>
    </row>
    <row r="315" spans="1:7">
      <c r="A315" s="6" t="s">
        <v>13</v>
      </c>
      <c r="B315" s="6">
        <v>538006842</v>
      </c>
      <c r="C315" s="6">
        <v>9187899</v>
      </c>
      <c r="D315">
        <v>13500</v>
      </c>
      <c r="E315" s="6">
        <f t="shared" si="10"/>
        <v>2160</v>
      </c>
      <c r="F315" s="6">
        <v>5872.7334238251024</v>
      </c>
      <c r="G315" s="6" t="s">
        <v>208</v>
      </c>
    </row>
    <row r="316" spans="1:7">
      <c r="A316" s="6" t="s">
        <v>169</v>
      </c>
      <c r="B316" s="6">
        <v>310780000</v>
      </c>
      <c r="C316" s="6">
        <v>9802396</v>
      </c>
      <c r="D316">
        <v>62400</v>
      </c>
      <c r="E316" s="6">
        <f t="shared" si="10"/>
        <v>9984</v>
      </c>
      <c r="F316" s="6">
        <v>1283.7300306157647</v>
      </c>
      <c r="G316" s="6" t="s">
        <v>208</v>
      </c>
    </row>
    <row r="317" spans="1:7">
      <c r="A317" s="6" t="s">
        <v>88</v>
      </c>
      <c r="B317" s="6">
        <v>249539000</v>
      </c>
      <c r="C317" s="6">
        <v>8512281</v>
      </c>
      <c r="D317">
        <v>21844</v>
      </c>
      <c r="E317" s="6">
        <f t="shared" si="10"/>
        <v>3495.04</v>
      </c>
      <c r="F317" s="6">
        <v>4838.1339944858491</v>
      </c>
      <c r="G317" s="6" t="s">
        <v>208</v>
      </c>
    </row>
    <row r="318" spans="1:7">
      <c r="A318" t="s">
        <v>357</v>
      </c>
      <c r="B318">
        <v>311000749</v>
      </c>
      <c r="C318">
        <v>9778856</v>
      </c>
      <c r="D318">
        <v>67200</v>
      </c>
      <c r="E318" s="6">
        <f t="shared" si="10"/>
        <v>10752</v>
      </c>
      <c r="F318" s="6">
        <v>169379</v>
      </c>
      <c r="G318" s="6" t="s">
        <v>208</v>
      </c>
    </row>
    <row r="319" spans="1:7">
      <c r="A319" s="6" t="s">
        <v>170</v>
      </c>
      <c r="B319" s="6">
        <v>232026551</v>
      </c>
      <c r="C319" s="6">
        <v>9818084</v>
      </c>
      <c r="D319">
        <v>21600</v>
      </c>
      <c r="E319" s="6">
        <f t="shared" si="10"/>
        <v>3456</v>
      </c>
      <c r="F319" s="6">
        <v>9788.5656587720496</v>
      </c>
      <c r="G319" s="6" t="s">
        <v>208</v>
      </c>
    </row>
    <row r="320" spans="1:7">
      <c r="A320" s="6" t="s">
        <v>171</v>
      </c>
      <c r="B320" s="6">
        <v>232021171</v>
      </c>
      <c r="C320" s="6">
        <v>9802683</v>
      </c>
      <c r="D320">
        <v>21600</v>
      </c>
      <c r="E320" s="6">
        <f t="shared" si="10"/>
        <v>3456</v>
      </c>
      <c r="F320" s="6">
        <v>5016.6785850056567</v>
      </c>
      <c r="G320" s="6" t="s">
        <v>208</v>
      </c>
    </row>
    <row r="321" spans="1:7">
      <c r="A321" t="s">
        <v>358</v>
      </c>
      <c r="B321">
        <v>249639000</v>
      </c>
      <c r="C321">
        <v>9070632</v>
      </c>
      <c r="D321">
        <v>11700</v>
      </c>
      <c r="E321" s="6">
        <f t="shared" si="10"/>
        <v>1872</v>
      </c>
      <c r="F321" s="6">
        <v>69130</v>
      </c>
      <c r="G321" s="6" t="s">
        <v>208</v>
      </c>
    </row>
    <row r="322" spans="1:7">
      <c r="A322" t="s">
        <v>359</v>
      </c>
      <c r="B322">
        <v>246494000</v>
      </c>
      <c r="C322">
        <v>9185554</v>
      </c>
      <c r="D322">
        <v>756</v>
      </c>
      <c r="E322" s="6">
        <f t="shared" si="10"/>
        <v>120.96000000000001</v>
      </c>
      <c r="F322" s="6">
        <v>723</v>
      </c>
      <c r="G322" s="6" t="s">
        <v>208</v>
      </c>
    </row>
    <row r="323" spans="1:7">
      <c r="A323" s="6" t="s">
        <v>12</v>
      </c>
      <c r="B323" s="6">
        <v>311083000</v>
      </c>
      <c r="C323" s="6">
        <v>8807997</v>
      </c>
      <c r="D323">
        <v>7280</v>
      </c>
      <c r="E323" s="6">
        <f t="shared" si="10"/>
        <v>1164.8</v>
      </c>
      <c r="F323" s="6">
        <v>3770.172701097692</v>
      </c>
      <c r="G323" s="6" t="s">
        <v>208</v>
      </c>
    </row>
    <row r="324" spans="1:7">
      <c r="A324" t="s">
        <v>360</v>
      </c>
      <c r="B324">
        <v>248786000</v>
      </c>
      <c r="C324">
        <v>8915445</v>
      </c>
      <c r="D324">
        <v>1500</v>
      </c>
      <c r="E324" s="6">
        <f t="shared" si="10"/>
        <v>240</v>
      </c>
      <c r="F324" s="6">
        <v>2298</v>
      </c>
      <c r="G324" s="6" t="s">
        <v>208</v>
      </c>
    </row>
    <row r="325" spans="1:7">
      <c r="A325" t="s">
        <v>361</v>
      </c>
      <c r="B325">
        <v>248785000</v>
      </c>
      <c r="C325">
        <v>8915433</v>
      </c>
      <c r="D325">
        <v>1014</v>
      </c>
      <c r="E325" s="6">
        <f t="shared" si="10"/>
        <v>162.24</v>
      </c>
      <c r="F325" s="6">
        <v>2298</v>
      </c>
      <c r="G325" s="6" t="s">
        <v>208</v>
      </c>
    </row>
    <row r="326" spans="1:7">
      <c r="A326" s="6" t="s">
        <v>8</v>
      </c>
      <c r="B326" s="6">
        <v>311085000</v>
      </c>
      <c r="C326" s="6">
        <v>9008598</v>
      </c>
      <c r="D326">
        <v>7280</v>
      </c>
      <c r="E326" s="6">
        <f t="shared" si="10"/>
        <v>1164.8</v>
      </c>
      <c r="F326" s="6">
        <v>10898.235266426382</v>
      </c>
      <c r="G326" s="6" t="s">
        <v>208</v>
      </c>
    </row>
    <row r="327" spans="1:7">
      <c r="A327" s="6" t="s">
        <v>68</v>
      </c>
      <c r="B327" s="6">
        <v>311084000</v>
      </c>
      <c r="C327" s="6">
        <v>8707343</v>
      </c>
      <c r="D327">
        <v>7280</v>
      </c>
      <c r="E327" s="6">
        <f t="shared" si="10"/>
        <v>1164.8</v>
      </c>
      <c r="F327" s="6">
        <v>9309.9009377281982</v>
      </c>
      <c r="G327" s="6" t="s">
        <v>208</v>
      </c>
    </row>
    <row r="328" spans="1:7">
      <c r="A328" t="s">
        <v>362</v>
      </c>
      <c r="B328">
        <v>310869000</v>
      </c>
      <c r="C328">
        <v>9863120</v>
      </c>
      <c r="D328">
        <v>8640</v>
      </c>
      <c r="E328" s="6">
        <f t="shared" si="10"/>
        <v>1382.4</v>
      </c>
      <c r="F328" s="6">
        <v>177882</v>
      </c>
      <c r="G328" s="6" t="s">
        <v>209</v>
      </c>
    </row>
    <row r="329" spans="1:7">
      <c r="A329" s="6" t="s">
        <v>172</v>
      </c>
      <c r="B329" s="6">
        <v>310841000</v>
      </c>
      <c r="C329" s="6">
        <v>9863118</v>
      </c>
      <c r="D329">
        <v>5025.1840693524664</v>
      </c>
      <c r="E329" s="6">
        <f t="shared" si="10"/>
        <v>804.02945109639461</v>
      </c>
      <c r="F329" s="6">
        <v>5025.1840693524664</v>
      </c>
      <c r="G329" s="6" t="s">
        <v>208</v>
      </c>
    </row>
    <row r="330" spans="1:7">
      <c r="A330" t="s">
        <v>363</v>
      </c>
      <c r="B330">
        <v>311000867</v>
      </c>
      <c r="C330">
        <v>9872327</v>
      </c>
      <c r="D330">
        <v>4321</v>
      </c>
      <c r="E330" s="6">
        <f t="shared" si="10"/>
        <v>691.36</v>
      </c>
      <c r="F330" s="6">
        <v>8076</v>
      </c>
      <c r="G330" s="6" t="s">
        <v>208</v>
      </c>
    </row>
    <row r="331" spans="1:7">
      <c r="A331" t="s">
        <v>364</v>
      </c>
      <c r="B331">
        <v>311000660</v>
      </c>
      <c r="C331">
        <v>9744001</v>
      </c>
      <c r="D331">
        <v>97020</v>
      </c>
      <c r="E331" s="6">
        <f t="shared" si="10"/>
        <v>15523.2</v>
      </c>
      <c r="F331" s="6">
        <v>228081</v>
      </c>
      <c r="G331" s="6" t="s">
        <v>208</v>
      </c>
    </row>
    <row r="332" spans="1:7">
      <c r="A332" s="6" t="s">
        <v>91</v>
      </c>
      <c r="B332" s="6">
        <v>672748000</v>
      </c>
      <c r="C332" s="6">
        <v>9598579</v>
      </c>
      <c r="D332">
        <v>6496.1290738872203</v>
      </c>
      <c r="E332" s="6">
        <f t="shared" si="10"/>
        <v>1039.3806518219553</v>
      </c>
      <c r="F332" s="6">
        <v>6496.1290738872203</v>
      </c>
      <c r="G332" s="6" t="s">
        <v>208</v>
      </c>
    </row>
    <row r="333" spans="1:7">
      <c r="A333" t="s">
        <v>365</v>
      </c>
      <c r="B333">
        <v>249596000</v>
      </c>
      <c r="C333">
        <v>9159830</v>
      </c>
      <c r="D333">
        <v>2970</v>
      </c>
      <c r="E333" s="6">
        <f t="shared" si="10"/>
        <v>475.2</v>
      </c>
      <c r="F333" s="6">
        <v>3504</v>
      </c>
      <c r="G333" s="6" t="s">
        <v>208</v>
      </c>
    </row>
    <row r="334" spans="1:7">
      <c r="A334" t="s">
        <v>366</v>
      </c>
      <c r="B334">
        <v>311213000</v>
      </c>
      <c r="C334">
        <v>9219331</v>
      </c>
      <c r="D334">
        <v>2000</v>
      </c>
      <c r="E334" s="6">
        <f t="shared" si="10"/>
        <v>320</v>
      </c>
      <c r="F334" s="6">
        <v>43188</v>
      </c>
      <c r="G334" s="6" t="s">
        <v>209</v>
      </c>
    </row>
    <row r="335" spans="1:7">
      <c r="A335" s="6" t="s">
        <v>5</v>
      </c>
      <c r="B335" s="6" t="s">
        <v>210</v>
      </c>
      <c r="C335" s="6">
        <v>8027298</v>
      </c>
      <c r="D335">
        <v>21600</v>
      </c>
      <c r="E335" s="6">
        <f t="shared" si="10"/>
        <v>3456</v>
      </c>
      <c r="F335" s="6">
        <v>7210.5109606764663</v>
      </c>
      <c r="G335" s="6" t="s">
        <v>208</v>
      </c>
    </row>
    <row r="336" spans="1:7">
      <c r="A336" s="6" t="s">
        <v>192</v>
      </c>
      <c r="B336" s="6" t="s">
        <v>210</v>
      </c>
      <c r="C336" s="6">
        <v>8407735</v>
      </c>
      <c r="D336">
        <v>9032</v>
      </c>
      <c r="E336" s="6">
        <f t="shared" si="10"/>
        <v>1445.1200000000001</v>
      </c>
      <c r="F336" s="6">
        <v>5330.5802304691952</v>
      </c>
      <c r="G336" s="6" t="s">
        <v>208</v>
      </c>
    </row>
    <row r="337" spans="1:7">
      <c r="A337" s="6" t="s">
        <v>193</v>
      </c>
      <c r="B337" s="6">
        <v>370610000</v>
      </c>
      <c r="C337" s="6">
        <v>8814744</v>
      </c>
      <c r="D337">
        <v>21120</v>
      </c>
      <c r="E337" s="6">
        <f t="shared" si="10"/>
        <v>3379.2000000000003</v>
      </c>
      <c r="F337" s="6">
        <v>3770.172701097692</v>
      </c>
      <c r="G337" s="6" t="s">
        <v>208</v>
      </c>
    </row>
    <row r="338" spans="1:7">
      <c r="A338" t="s">
        <v>367</v>
      </c>
      <c r="B338">
        <v>248368000</v>
      </c>
      <c r="C338">
        <v>8024014</v>
      </c>
      <c r="D338">
        <v>22400</v>
      </c>
      <c r="E338" s="6">
        <f t="shared" si="10"/>
        <v>3584</v>
      </c>
      <c r="F338" s="6">
        <v>33930</v>
      </c>
      <c r="G338" s="6" t="s">
        <v>208</v>
      </c>
    </row>
    <row r="339" spans="1:7">
      <c r="A339" s="6" t="s">
        <v>195</v>
      </c>
      <c r="B339" s="6">
        <v>249639000</v>
      </c>
      <c r="C339" s="6">
        <v>9070632</v>
      </c>
      <c r="D339">
        <v>58500</v>
      </c>
      <c r="E339" s="6">
        <f t="shared" si="10"/>
        <v>9360</v>
      </c>
      <c r="F339" s="6">
        <v>13059.446367084125</v>
      </c>
      <c r="G339" s="6" t="s">
        <v>208</v>
      </c>
    </row>
    <row r="340" spans="1:7">
      <c r="A340" s="6" t="s">
        <v>194</v>
      </c>
      <c r="B340" s="6">
        <v>311378000</v>
      </c>
      <c r="C340" s="6">
        <v>9070620</v>
      </c>
      <c r="D340">
        <v>58500</v>
      </c>
      <c r="E340" s="6">
        <f t="shared" si="10"/>
        <v>9360</v>
      </c>
      <c r="F340" s="6">
        <v>5730.9440874457805</v>
      </c>
      <c r="G340" s="6" t="s">
        <v>208</v>
      </c>
    </row>
    <row r="341" spans="1:7">
      <c r="A341" t="s">
        <v>368</v>
      </c>
      <c r="B341">
        <v>311000983</v>
      </c>
      <c r="C341">
        <v>9805336</v>
      </c>
      <c r="D341">
        <v>48000</v>
      </c>
      <c r="E341" s="6">
        <f t="shared" si="10"/>
        <v>7680</v>
      </c>
      <c r="F341" s="6">
        <v>110000</v>
      </c>
      <c r="G341" s="6" t="s">
        <v>208</v>
      </c>
    </row>
    <row r="342" spans="1:7">
      <c r="A342" s="6" t="s">
        <v>70</v>
      </c>
      <c r="B342" s="6">
        <v>538008158</v>
      </c>
      <c r="C342" s="6">
        <v>9657090</v>
      </c>
      <c r="D342">
        <v>4818.3695241673968</v>
      </c>
      <c r="E342" s="6">
        <f t="shared" si="10"/>
        <v>770.93912386678346</v>
      </c>
      <c r="F342" s="6">
        <v>4818.3695241673968</v>
      </c>
      <c r="G342" s="6" t="s">
        <v>208</v>
      </c>
    </row>
    <row r="343" spans="1:7">
      <c r="A343" t="s">
        <v>369</v>
      </c>
      <c r="B343">
        <v>255806445</v>
      </c>
      <c r="C343">
        <v>8919245</v>
      </c>
      <c r="D343">
        <v>24000</v>
      </c>
      <c r="E343" s="6">
        <f t="shared" si="10"/>
        <v>3840</v>
      </c>
      <c r="F343" s="6">
        <v>55451</v>
      </c>
      <c r="G343" s="6" t="s">
        <v>208</v>
      </c>
    </row>
    <row r="344" spans="1:7">
      <c r="A344" s="6" t="s">
        <v>53</v>
      </c>
      <c r="B344" s="6">
        <v>310801000</v>
      </c>
      <c r="C344" s="6">
        <v>9102992</v>
      </c>
      <c r="D344">
        <v>17300</v>
      </c>
      <c r="E344" s="6">
        <f t="shared" si="10"/>
        <v>2768</v>
      </c>
      <c r="F344" s="6">
        <v>11956.147855449461</v>
      </c>
      <c r="G344" s="6" t="s">
        <v>208</v>
      </c>
    </row>
    <row r="345" spans="1:7">
      <c r="A345" s="6" t="s">
        <v>2</v>
      </c>
      <c r="B345" s="6">
        <v>310562000</v>
      </c>
      <c r="C345" s="6">
        <v>9333175</v>
      </c>
      <c r="D345">
        <v>7049.095425998129</v>
      </c>
      <c r="E345" s="6">
        <f t="shared" si="10"/>
        <v>1127.8552681597007</v>
      </c>
      <c r="F345" s="6">
        <v>7049.095425998129</v>
      </c>
      <c r="G345" s="6" t="s">
        <v>208</v>
      </c>
    </row>
    <row r="346" spans="1:7">
      <c r="A346" s="6" t="s">
        <v>173</v>
      </c>
      <c r="B346" s="6">
        <v>257058920</v>
      </c>
      <c r="C346" s="6">
        <v>9796262</v>
      </c>
      <c r="D346">
        <v>23520</v>
      </c>
      <c r="E346" s="6">
        <f t="shared" si="10"/>
        <v>3763.2000000000003</v>
      </c>
      <c r="F346" s="6">
        <v>4166.0117772790309</v>
      </c>
      <c r="G346" s="6" t="s">
        <v>208</v>
      </c>
    </row>
    <row r="347" spans="1:7">
      <c r="A347" s="6" t="s">
        <v>174</v>
      </c>
      <c r="B347" s="6">
        <v>257800000</v>
      </c>
      <c r="C347" s="6">
        <v>9833187</v>
      </c>
      <c r="D347">
        <v>23520</v>
      </c>
      <c r="E347" s="6">
        <f t="shared" si="10"/>
        <v>3763.2000000000003</v>
      </c>
      <c r="F347" s="6">
        <v>8791.3191768759625</v>
      </c>
      <c r="G347" s="6" t="s">
        <v>208</v>
      </c>
    </row>
    <row r="348" spans="1:7">
      <c r="A348" t="s">
        <v>370</v>
      </c>
      <c r="B348">
        <v>257850000</v>
      </c>
      <c r="C348">
        <v>9845910</v>
      </c>
      <c r="D348">
        <v>48000</v>
      </c>
      <c r="E348" s="6">
        <f t="shared" si="10"/>
        <v>7680</v>
      </c>
      <c r="F348" s="6">
        <v>110000</v>
      </c>
      <c r="G348" s="6" t="s">
        <v>208</v>
      </c>
    </row>
    <row r="349" spans="1:7">
      <c r="A349" t="s">
        <v>371</v>
      </c>
      <c r="B349">
        <v>257034130</v>
      </c>
      <c r="C349">
        <v>9796250</v>
      </c>
      <c r="D349">
        <v>23520</v>
      </c>
      <c r="E349" s="6">
        <f t="shared" si="10"/>
        <v>3763.2000000000003</v>
      </c>
      <c r="F349" s="6">
        <v>47842</v>
      </c>
      <c r="G349" s="6" t="s">
        <v>208</v>
      </c>
    </row>
    <row r="350" spans="1:7">
      <c r="A350" s="6" t="s">
        <v>175</v>
      </c>
      <c r="B350" s="6">
        <v>258024000</v>
      </c>
      <c r="C350" s="6">
        <v>9845922</v>
      </c>
      <c r="D350">
        <v>23520</v>
      </c>
      <c r="E350" s="6">
        <f t="shared" si="10"/>
        <v>3763.2000000000003</v>
      </c>
      <c r="F350" s="6">
        <v>7580.9807220698031</v>
      </c>
      <c r="G350" s="6" t="s">
        <v>208</v>
      </c>
    </row>
    <row r="351" spans="1:7">
      <c r="A351" s="6" t="s">
        <v>7</v>
      </c>
      <c r="B351" s="6">
        <v>258215000</v>
      </c>
      <c r="C351" s="6">
        <v>9725421</v>
      </c>
      <c r="D351">
        <v>23520</v>
      </c>
      <c r="E351" s="6">
        <f t="shared" si="10"/>
        <v>3763.2000000000003</v>
      </c>
      <c r="F351" s="6">
        <v>2903.1638619980636</v>
      </c>
      <c r="G351" s="6" t="s">
        <v>208</v>
      </c>
    </row>
    <row r="352" spans="1:7">
      <c r="A352" s="6" t="s">
        <v>6</v>
      </c>
      <c r="B352" s="6">
        <v>259186000</v>
      </c>
      <c r="C352" s="6">
        <v>9650420</v>
      </c>
      <c r="D352">
        <v>23520</v>
      </c>
      <c r="E352" s="6">
        <f t="shared" si="10"/>
        <v>3763.2000000000003</v>
      </c>
      <c r="F352" s="6">
        <v>20.517830964784299</v>
      </c>
      <c r="G352" s="6" t="s">
        <v>208</v>
      </c>
    </row>
    <row r="353" spans="1:7">
      <c r="A353" s="6" t="s">
        <v>54</v>
      </c>
      <c r="B353" s="6">
        <v>257903000</v>
      </c>
      <c r="C353" s="6">
        <v>9650418</v>
      </c>
      <c r="D353">
        <v>23520</v>
      </c>
      <c r="E353" s="6">
        <f t="shared" si="10"/>
        <v>3763.2000000000003</v>
      </c>
      <c r="F353" s="6">
        <v>12884.783747316522</v>
      </c>
      <c r="G353" s="6" t="s">
        <v>208</v>
      </c>
    </row>
    <row r="354" spans="1:7">
      <c r="A354" s="6" t="s">
        <v>93</v>
      </c>
      <c r="B354" s="6">
        <v>257179000</v>
      </c>
      <c r="C354" s="6">
        <v>9725433</v>
      </c>
      <c r="D354">
        <v>23520</v>
      </c>
      <c r="E354" s="6">
        <f t="shared" si="10"/>
        <v>3763.2000000000003</v>
      </c>
      <c r="F354" s="6">
        <v>10423.215064628357</v>
      </c>
      <c r="G354" s="6" t="s">
        <v>208</v>
      </c>
    </row>
    <row r="355" spans="1:7">
      <c r="A355" s="6" t="s">
        <v>176</v>
      </c>
      <c r="B355" s="6">
        <v>257526000</v>
      </c>
      <c r="C355" s="6">
        <v>9852432</v>
      </c>
      <c r="D355">
        <v>23520</v>
      </c>
      <c r="E355" s="6">
        <f t="shared" si="10"/>
        <v>3763.2000000000003</v>
      </c>
      <c r="F355" s="6">
        <v>1288.3995545827001</v>
      </c>
      <c r="G355" s="6" t="s">
        <v>208</v>
      </c>
    </row>
    <row r="356" spans="1:7">
      <c r="A356" s="6" t="s">
        <v>177</v>
      </c>
      <c r="B356" s="6">
        <v>257552000</v>
      </c>
      <c r="C356" s="6">
        <v>9833175</v>
      </c>
      <c r="D356">
        <v>23520</v>
      </c>
      <c r="E356" s="6">
        <f t="shared" si="10"/>
        <v>3763.2000000000003</v>
      </c>
      <c r="F356" s="6">
        <v>2471.0582407526808</v>
      </c>
      <c r="G356" s="6" t="s">
        <v>208</v>
      </c>
    </row>
    <row r="357" spans="1:7">
      <c r="A357" t="s">
        <v>372</v>
      </c>
      <c r="B357">
        <v>257944000</v>
      </c>
      <c r="C357">
        <v>9852444</v>
      </c>
      <c r="D357">
        <v>23520</v>
      </c>
      <c r="E357" s="6">
        <f t="shared" ref="E357:E373" si="11">D357*0.16</f>
        <v>3763.2000000000003</v>
      </c>
      <c r="F357" s="6">
        <v>53769</v>
      </c>
      <c r="G357" s="6" t="s">
        <v>208</v>
      </c>
    </row>
    <row r="358" spans="1:7">
      <c r="A358" s="6" t="s">
        <v>43</v>
      </c>
      <c r="B358" s="6">
        <v>311321000</v>
      </c>
      <c r="C358" s="6">
        <v>9116876</v>
      </c>
      <c r="D358">
        <v>50400</v>
      </c>
      <c r="E358" s="6">
        <f t="shared" si="11"/>
        <v>8064</v>
      </c>
      <c r="F358" s="6">
        <v>6807.2506193960899</v>
      </c>
      <c r="G358" s="6" t="s">
        <v>208</v>
      </c>
    </row>
    <row r="359" spans="1:7">
      <c r="A359" s="6" t="s">
        <v>178</v>
      </c>
      <c r="B359" s="6">
        <v>538009952</v>
      </c>
      <c r="C359" s="6">
        <v>110</v>
      </c>
      <c r="D359">
        <v>10296.8436913439</v>
      </c>
      <c r="E359" s="6">
        <f t="shared" si="11"/>
        <v>1647.4949906150241</v>
      </c>
      <c r="F359" s="6">
        <v>10296.8436913439</v>
      </c>
      <c r="G359" s="6" t="s">
        <v>208</v>
      </c>
    </row>
    <row r="360" spans="1:7">
      <c r="A360" t="s">
        <v>373</v>
      </c>
      <c r="B360">
        <v>245968000</v>
      </c>
      <c r="C360">
        <v>9156515</v>
      </c>
      <c r="D360">
        <v>41500</v>
      </c>
      <c r="E360" s="6">
        <f t="shared" si="11"/>
        <v>6640</v>
      </c>
      <c r="F360" s="6">
        <v>61214</v>
      </c>
      <c r="G360" s="6" t="s">
        <v>208</v>
      </c>
    </row>
    <row r="361" spans="1:7">
      <c r="A361" t="s">
        <v>374</v>
      </c>
      <c r="B361">
        <v>309695000</v>
      </c>
      <c r="C361">
        <v>8709573</v>
      </c>
      <c r="D361">
        <v>13410</v>
      </c>
      <c r="E361" s="6">
        <f t="shared" si="11"/>
        <v>2145.6</v>
      </c>
      <c r="F361" s="6">
        <v>15595</v>
      </c>
      <c r="G361" s="6" t="s">
        <v>208</v>
      </c>
    </row>
    <row r="362" spans="1:7">
      <c r="A362" s="6" t="s">
        <v>179</v>
      </c>
      <c r="B362" s="6">
        <v>311317000</v>
      </c>
      <c r="C362" s="6">
        <v>9161716</v>
      </c>
      <c r="D362">
        <v>75600</v>
      </c>
      <c r="E362" s="6">
        <f t="shared" si="11"/>
        <v>12096</v>
      </c>
      <c r="F362" s="6">
        <v>12173.834720212095</v>
      </c>
      <c r="G362" s="6" t="s">
        <v>208</v>
      </c>
    </row>
    <row r="363" spans="1:7">
      <c r="A363" s="6" t="s">
        <v>38</v>
      </c>
      <c r="B363" s="6">
        <v>244128000</v>
      </c>
      <c r="C363" s="6">
        <v>9226891</v>
      </c>
      <c r="D363">
        <v>8606.9444551965298</v>
      </c>
      <c r="E363" s="6">
        <f t="shared" si="11"/>
        <v>1377.1111128314449</v>
      </c>
      <c r="F363" s="6">
        <v>8606.9444551965298</v>
      </c>
      <c r="G363" s="6" t="s">
        <v>208</v>
      </c>
    </row>
    <row r="364" spans="1:7">
      <c r="A364" s="6" t="s">
        <v>180</v>
      </c>
      <c r="B364" s="6">
        <v>309056000</v>
      </c>
      <c r="C364" s="6">
        <v>8603509</v>
      </c>
      <c r="D364">
        <v>3150</v>
      </c>
      <c r="E364" s="6">
        <f t="shared" si="11"/>
        <v>504</v>
      </c>
      <c r="F364" s="6">
        <v>1665.6500500744173</v>
      </c>
      <c r="G364" s="6" t="s">
        <v>208</v>
      </c>
    </row>
    <row r="365" spans="1:7">
      <c r="A365" s="6" t="s">
        <v>11</v>
      </c>
      <c r="B365" s="6">
        <v>309163000</v>
      </c>
      <c r="C365" s="6">
        <v>8420878</v>
      </c>
      <c r="D365">
        <v>3150</v>
      </c>
      <c r="E365" s="6">
        <f t="shared" si="11"/>
        <v>504</v>
      </c>
      <c r="F365" s="6">
        <v>3770.172701097692</v>
      </c>
      <c r="G365" s="6" t="s">
        <v>208</v>
      </c>
    </row>
    <row r="366" spans="1:7">
      <c r="A366" s="6" t="s">
        <v>204</v>
      </c>
      <c r="B366" s="6">
        <v>309242000</v>
      </c>
      <c r="C366" s="6">
        <v>8700785</v>
      </c>
      <c r="D366">
        <v>11520</v>
      </c>
      <c r="E366" s="6">
        <f t="shared" si="11"/>
        <v>1843.2</v>
      </c>
      <c r="F366" s="6">
        <v>8329.4461226553794</v>
      </c>
      <c r="G366" s="6" t="s">
        <v>208</v>
      </c>
    </row>
    <row r="367" spans="1:7">
      <c r="A367" t="s">
        <v>375</v>
      </c>
      <c r="B367">
        <v>311001033</v>
      </c>
      <c r="C367">
        <v>9838345</v>
      </c>
      <c r="D367">
        <v>100140</v>
      </c>
      <c r="E367" s="6">
        <f t="shared" si="11"/>
        <v>16022.4</v>
      </c>
      <c r="F367" s="6">
        <v>236857</v>
      </c>
      <c r="G367" s="6" t="s">
        <v>208</v>
      </c>
    </row>
    <row r="368" spans="1:7">
      <c r="A368" t="s">
        <v>376</v>
      </c>
      <c r="B368">
        <v>255806207</v>
      </c>
      <c r="C368">
        <v>9871531</v>
      </c>
      <c r="D368">
        <v>9000</v>
      </c>
      <c r="E368" s="6">
        <f t="shared" si="11"/>
        <v>1440</v>
      </c>
      <c r="F368" s="6">
        <v>9923</v>
      </c>
      <c r="G368" s="6" t="s">
        <v>208</v>
      </c>
    </row>
    <row r="369" spans="1:7">
      <c r="A369" s="6" t="s">
        <v>205</v>
      </c>
      <c r="B369" s="6">
        <v>311000410</v>
      </c>
      <c r="C369" s="6">
        <v>9141807</v>
      </c>
      <c r="D369">
        <v>1555.4707884316199</v>
      </c>
      <c r="E369" s="6">
        <f t="shared" si="11"/>
        <v>248.87532614905919</v>
      </c>
      <c r="F369" s="6">
        <v>1555.4707884316199</v>
      </c>
      <c r="G369" s="6" t="s">
        <v>208</v>
      </c>
    </row>
    <row r="370" spans="1:7">
      <c r="A370" s="6" t="s">
        <v>181</v>
      </c>
      <c r="B370" s="6">
        <v>255806210</v>
      </c>
      <c r="C370" s="6">
        <v>9904807</v>
      </c>
      <c r="D370">
        <v>3319.7454067657613</v>
      </c>
      <c r="E370" s="6">
        <f t="shared" si="11"/>
        <v>531.15926508252187</v>
      </c>
      <c r="F370" s="6">
        <v>3319.7454067657613</v>
      </c>
      <c r="G370" s="6" t="s">
        <v>208</v>
      </c>
    </row>
    <row r="371" spans="1:7">
      <c r="A371" t="s">
        <v>377</v>
      </c>
      <c r="B371">
        <v>255806150</v>
      </c>
      <c r="C371">
        <v>9871529</v>
      </c>
      <c r="D371">
        <v>9000</v>
      </c>
      <c r="E371" s="6">
        <f t="shared" si="11"/>
        <v>1440</v>
      </c>
      <c r="F371" s="6">
        <v>9934</v>
      </c>
      <c r="G371" s="6" t="s">
        <v>208</v>
      </c>
    </row>
    <row r="372" spans="1:7">
      <c r="A372" t="s">
        <v>378</v>
      </c>
      <c r="B372">
        <v>357062000</v>
      </c>
      <c r="C372">
        <v>8918136</v>
      </c>
      <c r="D372">
        <v>19960</v>
      </c>
      <c r="E372" s="6">
        <f t="shared" si="11"/>
        <v>3193.6</v>
      </c>
      <c r="F372" s="6">
        <v>47413</v>
      </c>
      <c r="G372" s="6" t="s">
        <v>380</v>
      </c>
    </row>
    <row r="373" spans="1:7">
      <c r="A373" t="s">
        <v>379</v>
      </c>
      <c r="B373">
        <v>245304000</v>
      </c>
      <c r="C373">
        <v>9221279</v>
      </c>
      <c r="D373">
        <v>51840</v>
      </c>
      <c r="E373" s="6">
        <f t="shared" si="11"/>
        <v>8294.4</v>
      </c>
      <c r="F373">
        <v>81769</v>
      </c>
      <c r="G373" s="6" t="s">
        <v>208</v>
      </c>
    </row>
    <row r="374" spans="1:7">
      <c r="A374" s="1"/>
      <c r="D374"/>
    </row>
    <row r="375" spans="1:7">
      <c r="A375" s="1"/>
      <c r="D375" s="2"/>
    </row>
    <row r="376" spans="1:7">
      <c r="A376" s="1"/>
      <c r="D376" s="2"/>
    </row>
    <row r="377" spans="1:7">
      <c r="A377" s="1"/>
      <c r="D377" s="2"/>
    </row>
    <row r="378" spans="1:7">
      <c r="A378" s="1"/>
      <c r="D378" s="2"/>
    </row>
    <row r="379" spans="1:7">
      <c r="A379" s="1"/>
      <c r="D379" s="2"/>
    </row>
    <row r="380" spans="1:7">
      <c r="A380" s="1"/>
      <c r="D380" s="2"/>
    </row>
    <row r="381" spans="1:7">
      <c r="A381" s="1"/>
      <c r="D381" s="2"/>
    </row>
    <row r="382" spans="1:7">
      <c r="A382" s="1"/>
      <c r="D382" s="2"/>
    </row>
    <row r="383" spans="1:7">
      <c r="A383" s="1"/>
      <c r="D383" s="2"/>
    </row>
    <row r="384" spans="1:7">
      <c r="A384" s="1"/>
      <c r="D384" s="2"/>
    </row>
    <row r="385" spans="1:4">
      <c r="A385" s="1"/>
      <c r="D385" s="2"/>
    </row>
    <row r="386" spans="1:4">
      <c r="A386" s="1"/>
      <c r="D386" s="2"/>
    </row>
    <row r="387" spans="1:4">
      <c r="A387" s="1"/>
      <c r="D387" s="2"/>
    </row>
    <row r="388" spans="1:4">
      <c r="A388" s="1"/>
      <c r="D388" s="2"/>
    </row>
    <row r="389" spans="1:4">
      <c r="A389" s="1"/>
      <c r="D389" s="2"/>
    </row>
    <row r="390" spans="1:4">
      <c r="A390" s="1"/>
      <c r="D390" s="2"/>
    </row>
    <row r="391" spans="1:4">
      <c r="A391" s="1"/>
      <c r="D391" s="2"/>
    </row>
    <row r="392" spans="1:4">
      <c r="A392" s="1"/>
      <c r="D392" s="2"/>
    </row>
    <row r="393" spans="1:4">
      <c r="A393" s="1"/>
      <c r="D393" s="2"/>
    </row>
    <row r="394" spans="1:4">
      <c r="A394" s="1"/>
      <c r="D394" s="2"/>
    </row>
    <row r="395" spans="1:4">
      <c r="A395" s="1"/>
      <c r="D395" s="2"/>
    </row>
    <row r="396" spans="1:4">
      <c r="A396" s="1"/>
      <c r="D396" s="2"/>
    </row>
    <row r="397" spans="1:4">
      <c r="A397" s="1"/>
      <c r="D397" s="2"/>
    </row>
    <row r="398" spans="1:4">
      <c r="A398" s="1"/>
      <c r="D398" s="2"/>
    </row>
    <row r="399" spans="1:4">
      <c r="A399" s="1"/>
      <c r="D399" s="2"/>
    </row>
    <row r="400" spans="1:4">
      <c r="A400" s="1"/>
      <c r="D400" s="2"/>
    </row>
    <row r="401" spans="1:4">
      <c r="A401" s="1"/>
      <c r="D401" s="2"/>
    </row>
    <row r="402" spans="1:4">
      <c r="A402" s="1"/>
      <c r="D402" s="2"/>
    </row>
    <row r="403" spans="1:4">
      <c r="A403" s="1"/>
      <c r="D403" s="2"/>
    </row>
    <row r="404" spans="1:4">
      <c r="A404" s="1"/>
      <c r="D404" s="2"/>
    </row>
    <row r="405" spans="1:4">
      <c r="A405" s="1"/>
      <c r="D405" s="2"/>
    </row>
    <row r="406" spans="1:4">
      <c r="A406" s="1"/>
      <c r="D406" s="2"/>
    </row>
    <row r="407" spans="1:4">
      <c r="A407" s="1"/>
      <c r="D407" s="2"/>
    </row>
    <row r="408" spans="1:4">
      <c r="A408" s="1"/>
      <c r="D408" s="2"/>
    </row>
    <row r="409" spans="1:4">
      <c r="A409" s="1"/>
      <c r="D409" s="2"/>
    </row>
    <row r="410" spans="1:4">
      <c r="A410" s="1"/>
      <c r="D410" s="2"/>
    </row>
    <row r="411" spans="1:4">
      <c r="A411" s="1"/>
      <c r="D411" s="2"/>
    </row>
    <row r="412" spans="1:4">
      <c r="A412" s="1"/>
      <c r="D412" s="2"/>
    </row>
    <row r="413" spans="1:4">
      <c r="A413" s="1"/>
      <c r="D413" s="2"/>
    </row>
    <row r="414" spans="1:4">
      <c r="A414" s="1"/>
      <c r="D414" s="2"/>
    </row>
    <row r="415" spans="1:4">
      <c r="A415" s="1"/>
      <c r="D415" s="2"/>
    </row>
    <row r="416" spans="1:4">
      <c r="A416" s="1"/>
      <c r="D416" s="2"/>
    </row>
    <row r="417" spans="1:4">
      <c r="A417" s="1"/>
      <c r="D417" s="2"/>
    </row>
    <row r="418" spans="1:4">
      <c r="A418" s="1"/>
      <c r="D418" s="2"/>
    </row>
    <row r="419" spans="1:4">
      <c r="A419" s="1"/>
      <c r="D419" s="2"/>
    </row>
    <row r="420" spans="1:4">
      <c r="A420" s="1"/>
      <c r="D420" s="2"/>
    </row>
    <row r="421" spans="1:4">
      <c r="A421" s="1"/>
      <c r="D421" s="2"/>
    </row>
    <row r="422" spans="1:4">
      <c r="A422" s="1"/>
      <c r="D422" s="2"/>
    </row>
    <row r="423" spans="1:4">
      <c r="A423" s="1"/>
      <c r="D423" s="2"/>
    </row>
    <row r="424" spans="1:4">
      <c r="A424" s="1"/>
      <c r="D424" s="2"/>
    </row>
    <row r="425" spans="1:4">
      <c r="A425" s="1"/>
      <c r="D425" s="2"/>
    </row>
    <row r="426" spans="1:4">
      <c r="A426" s="1"/>
      <c r="D426" s="2"/>
    </row>
    <row r="427" spans="1:4">
      <c r="A427" s="1"/>
      <c r="D427" s="2"/>
    </row>
    <row r="428" spans="1:4">
      <c r="A428" s="1"/>
      <c r="D428" s="2"/>
    </row>
    <row r="429" spans="1:4">
      <c r="A429" s="1"/>
      <c r="D429" s="2"/>
    </row>
    <row r="430" spans="1:4">
      <c r="A430" s="1"/>
      <c r="D430" s="2"/>
    </row>
    <row r="431" spans="1:4">
      <c r="A431" s="1"/>
      <c r="D431" s="2"/>
    </row>
    <row r="432" spans="1:4">
      <c r="A432" s="1"/>
      <c r="D432" s="2"/>
    </row>
    <row r="433" spans="1:4">
      <c r="A433" s="1"/>
      <c r="D433" s="2"/>
    </row>
    <row r="434" spans="1:4">
      <c r="A434" s="1"/>
      <c r="D434" s="2"/>
    </row>
    <row r="435" spans="1:4">
      <c r="A435" s="1"/>
      <c r="D435" s="2"/>
    </row>
    <row r="436" spans="1:4">
      <c r="A436" s="1"/>
      <c r="D436" s="2"/>
    </row>
    <row r="437" spans="1:4">
      <c r="A437" s="1"/>
      <c r="D437" s="2"/>
    </row>
    <row r="438" spans="1:4">
      <c r="A438" s="1"/>
      <c r="D438" s="2"/>
    </row>
    <row r="439" spans="1:4">
      <c r="A439" s="1"/>
      <c r="D439" s="2"/>
    </row>
    <row r="440" spans="1:4">
      <c r="A440" s="1"/>
      <c r="D440" s="2"/>
    </row>
    <row r="441" spans="1:4">
      <c r="A441" s="1"/>
      <c r="D441" s="2"/>
    </row>
    <row r="442" spans="1:4">
      <c r="A442" s="1"/>
      <c r="D442" s="2"/>
    </row>
    <row r="443" spans="1:4">
      <c r="A443" s="1"/>
      <c r="D443" s="2"/>
    </row>
    <row r="444" spans="1:4">
      <c r="A444" s="1"/>
      <c r="D444" s="2"/>
    </row>
    <row r="445" spans="1:4">
      <c r="A445" s="1"/>
      <c r="D445" s="2"/>
    </row>
    <row r="446" spans="1:4">
      <c r="A446" s="1"/>
      <c r="D446" s="2"/>
    </row>
    <row r="447" spans="1:4">
      <c r="A447" s="1"/>
      <c r="D447" s="2"/>
    </row>
    <row r="448" spans="1:4">
      <c r="A448" s="1"/>
      <c r="D448" s="2"/>
    </row>
    <row r="449" spans="1:4">
      <c r="A449" s="1"/>
      <c r="D449" s="2"/>
    </row>
    <row r="450" spans="1:4">
      <c r="A450" s="1"/>
      <c r="D450" s="2"/>
    </row>
    <row r="451" spans="1:4">
      <c r="A451" s="1"/>
      <c r="D451" s="2"/>
    </row>
    <row r="452" spans="1:4">
      <c r="A452" s="1"/>
      <c r="D452" s="2"/>
    </row>
    <row r="453" spans="1:4">
      <c r="A453" s="1"/>
      <c r="D453" s="2"/>
    </row>
    <row r="454" spans="1:4">
      <c r="A454" s="1"/>
      <c r="D454" s="2"/>
    </row>
    <row r="455" spans="1:4">
      <c r="A455" s="1"/>
      <c r="D455" s="2"/>
    </row>
    <row r="456" spans="1:4">
      <c r="A456" s="1"/>
      <c r="D456" s="2"/>
    </row>
    <row r="457" spans="1:4">
      <c r="A457" s="1"/>
      <c r="D457" s="2"/>
    </row>
    <row r="458" spans="1:4">
      <c r="A458" s="1"/>
      <c r="D458" s="2"/>
    </row>
    <row r="459" spans="1:4">
      <c r="A459" s="1"/>
      <c r="D459" s="2"/>
    </row>
    <row r="460" spans="1:4">
      <c r="A460" s="1"/>
      <c r="D460" s="2"/>
    </row>
    <row r="461" spans="1:4">
      <c r="A461" s="1"/>
      <c r="D461" s="2"/>
    </row>
    <row r="462" spans="1:4">
      <c r="A462" s="1"/>
      <c r="D462" s="2"/>
    </row>
    <row r="463" spans="1:4">
      <c r="A463" s="1"/>
      <c r="D463" s="2"/>
    </row>
    <row r="464" spans="1:4">
      <c r="A464" s="1"/>
      <c r="D464" s="2"/>
    </row>
    <row r="465" spans="1:4">
      <c r="A465" s="1"/>
      <c r="D465" s="2"/>
    </row>
    <row r="466" spans="1:4">
      <c r="A466" s="1"/>
      <c r="D466" s="2"/>
    </row>
    <row r="467" spans="1:4">
      <c r="A467" s="1"/>
      <c r="D467" s="2"/>
    </row>
    <row r="468" spans="1:4">
      <c r="A468" s="1"/>
      <c r="D468" s="2"/>
    </row>
    <row r="469" spans="1:4">
      <c r="A469" s="1"/>
      <c r="D469" s="2"/>
    </row>
    <row r="470" spans="1:4">
      <c r="A470" s="1"/>
      <c r="D470" s="2"/>
    </row>
    <row r="471" spans="1:4">
      <c r="A471" s="1"/>
      <c r="D471" s="2"/>
    </row>
    <row r="472" spans="1:4">
      <c r="A472" s="1"/>
      <c r="D472" s="2"/>
    </row>
    <row r="473" spans="1:4">
      <c r="A473" s="1"/>
      <c r="D473" s="2"/>
    </row>
    <row r="474" spans="1:4">
      <c r="A474" s="1"/>
      <c r="D474" s="2"/>
    </row>
    <row r="475" spans="1:4">
      <c r="A475" s="1"/>
      <c r="D475" s="2"/>
    </row>
    <row r="476" spans="1:4">
      <c r="A476" s="1"/>
      <c r="D476" s="2"/>
    </row>
    <row r="477" spans="1:4">
      <c r="A477" s="1"/>
      <c r="D477" s="2"/>
    </row>
    <row r="478" spans="1:4">
      <c r="A478" s="1"/>
      <c r="D478" s="2"/>
    </row>
    <row r="479" spans="1:4">
      <c r="A479" s="1"/>
      <c r="D479" s="2"/>
    </row>
    <row r="480" spans="1:4">
      <c r="A480" s="1"/>
      <c r="D480" s="2"/>
    </row>
    <row r="481" spans="1:4">
      <c r="A481" s="1"/>
      <c r="D481" s="2"/>
    </row>
    <row r="482" spans="1:4">
      <c r="A482" s="1"/>
      <c r="D482" s="2"/>
    </row>
    <row r="483" spans="1:4">
      <c r="A483" s="1"/>
      <c r="D483" s="2"/>
    </row>
    <row r="484" spans="1:4">
      <c r="A484" s="1"/>
      <c r="D484" s="2"/>
    </row>
    <row r="485" spans="1:4">
      <c r="A485" s="1"/>
      <c r="D485" s="2"/>
    </row>
    <row r="486" spans="1:4">
      <c r="A486" s="1"/>
      <c r="D486" s="2"/>
    </row>
    <row r="487" spans="1:4">
      <c r="A487" s="1"/>
      <c r="D487" s="2"/>
    </row>
    <row r="488" spans="1:4">
      <c r="A488" s="1"/>
      <c r="D488" s="2"/>
    </row>
    <row r="489" spans="1:4">
      <c r="A489" s="1"/>
      <c r="D489" s="2"/>
    </row>
    <row r="490" spans="1:4">
      <c r="A490" s="1"/>
      <c r="D490" s="2"/>
    </row>
    <row r="491" spans="1:4">
      <c r="A491" s="1"/>
      <c r="D491" s="2"/>
    </row>
    <row r="492" spans="1:4">
      <c r="A492" s="1"/>
      <c r="D492" s="2"/>
    </row>
    <row r="493" spans="1:4">
      <c r="A493" s="1"/>
      <c r="D493" s="2"/>
    </row>
    <row r="494" spans="1:4">
      <c r="A494" s="1"/>
      <c r="D494" s="2"/>
    </row>
    <row r="495" spans="1:4">
      <c r="A495" s="1"/>
      <c r="D495" s="2"/>
    </row>
    <row r="496" spans="1:4">
      <c r="A496" s="1"/>
      <c r="D496" s="2"/>
    </row>
    <row r="497" spans="1:4">
      <c r="A497" s="1"/>
      <c r="D497" s="2"/>
    </row>
    <row r="498" spans="1:4">
      <c r="A498" s="1"/>
      <c r="D498" s="2"/>
    </row>
    <row r="499" spans="1:4">
      <c r="A499" s="1"/>
      <c r="D499" s="2"/>
    </row>
    <row r="500" spans="1:4">
      <c r="A500" s="1"/>
      <c r="D500" s="2"/>
    </row>
    <row r="501" spans="1:4">
      <c r="A501" s="1"/>
      <c r="D501" s="2"/>
    </row>
    <row r="502" spans="1:4">
      <c r="A502" s="1"/>
      <c r="D502" s="2"/>
    </row>
    <row r="503" spans="1:4">
      <c r="A503" s="1"/>
      <c r="D503" s="2"/>
    </row>
    <row r="504" spans="1:4">
      <c r="A504" s="1"/>
      <c r="D504" s="2"/>
    </row>
    <row r="505" spans="1:4">
      <c r="A505" s="1"/>
      <c r="D505" s="2"/>
    </row>
    <row r="506" spans="1:4">
      <c r="A506" s="1"/>
      <c r="D506" s="2"/>
    </row>
    <row r="507" spans="1:4">
      <c r="A507" s="1"/>
      <c r="D507" s="2"/>
    </row>
    <row r="508" spans="1:4">
      <c r="A508" s="1"/>
      <c r="D508" s="2"/>
    </row>
    <row r="509" spans="1:4">
      <c r="A509" s="1"/>
      <c r="D509" s="2"/>
    </row>
    <row r="510" spans="1:4">
      <c r="A510" s="1"/>
      <c r="D510" s="2"/>
    </row>
    <row r="511" spans="1:4">
      <c r="A511" s="1"/>
      <c r="D511" s="2"/>
    </row>
    <row r="512" spans="1:4">
      <c r="A512" s="1"/>
      <c r="D512" s="2"/>
    </row>
    <row r="513" spans="1:4">
      <c r="A513" s="1"/>
      <c r="D513" s="2"/>
    </row>
    <row r="514" spans="1:4">
      <c r="A514" s="1"/>
      <c r="D514" s="2"/>
    </row>
    <row r="515" spans="1:4">
      <c r="A515" s="1"/>
      <c r="D515" s="2"/>
    </row>
    <row r="516" spans="1:4">
      <c r="A516" s="1"/>
      <c r="D516" s="2"/>
    </row>
    <row r="517" spans="1:4">
      <c r="A517" s="1"/>
      <c r="D517" s="2"/>
    </row>
    <row r="518" spans="1:4">
      <c r="A518" s="1"/>
      <c r="D518" s="2"/>
    </row>
    <row r="519" spans="1:4">
      <c r="A519" s="1"/>
      <c r="D519" s="2"/>
    </row>
    <row r="520" spans="1:4">
      <c r="A520" s="1"/>
      <c r="D520" s="2"/>
    </row>
    <row r="521" spans="1:4">
      <c r="A521" s="1"/>
      <c r="D521" s="2"/>
    </row>
    <row r="522" spans="1:4">
      <c r="A522" s="1"/>
      <c r="D522" s="2"/>
    </row>
    <row r="523" spans="1:4">
      <c r="A523" s="1"/>
      <c r="D523" s="2"/>
    </row>
    <row r="524" spans="1:4">
      <c r="A524" s="1"/>
      <c r="D524" s="2"/>
    </row>
    <row r="525" spans="1:4">
      <c r="A525" s="1"/>
      <c r="D525" s="2"/>
    </row>
    <row r="526" spans="1:4">
      <c r="A526" s="1"/>
      <c r="D526" s="2"/>
    </row>
    <row r="527" spans="1:4">
      <c r="A527" s="1"/>
      <c r="D527" s="2"/>
    </row>
    <row r="528" spans="1:4">
      <c r="A528" s="1"/>
      <c r="D528" s="2"/>
    </row>
    <row r="529" spans="1:4">
      <c r="A529" s="1"/>
      <c r="D529" s="2"/>
    </row>
    <row r="530" spans="1:4">
      <c r="A530" s="1"/>
      <c r="D530" s="2"/>
    </row>
    <row r="531" spans="1:4">
      <c r="A531" s="1"/>
      <c r="D531" s="2"/>
    </row>
    <row r="532" spans="1:4">
      <c r="A532" s="1"/>
      <c r="D532" s="2"/>
    </row>
    <row r="533" spans="1:4">
      <c r="A533" s="1"/>
      <c r="D533" s="2"/>
    </row>
    <row r="534" spans="1:4">
      <c r="A534" s="1"/>
      <c r="D534" s="2"/>
    </row>
    <row r="535" spans="1:4">
      <c r="A535" s="1"/>
      <c r="D535" s="2"/>
    </row>
    <row r="536" spans="1:4">
      <c r="A536" s="1"/>
      <c r="D536" s="2"/>
    </row>
    <row r="537" spans="1:4">
      <c r="A537" s="1"/>
      <c r="D537" s="2"/>
    </row>
    <row r="538" spans="1:4">
      <c r="A538" s="1"/>
      <c r="D538" s="2"/>
    </row>
    <row r="539" spans="1:4">
      <c r="A539" s="1"/>
      <c r="D539" s="2"/>
    </row>
    <row r="540" spans="1:4">
      <c r="A540" s="1"/>
      <c r="D540" s="2"/>
    </row>
    <row r="541" spans="1:4">
      <c r="A541" s="1"/>
      <c r="D541" s="2"/>
    </row>
    <row r="542" spans="1:4">
      <c r="A542" s="1"/>
      <c r="D542" s="2"/>
    </row>
    <row r="543" spans="1:4">
      <c r="A543" s="1"/>
      <c r="D543" s="2"/>
    </row>
    <row r="544" spans="1:4">
      <c r="A544" s="1"/>
      <c r="D544" s="2"/>
    </row>
    <row r="545" spans="1:4">
      <c r="A545" s="1"/>
      <c r="D545" s="2"/>
    </row>
    <row r="546" spans="1:4">
      <c r="A546" s="1"/>
      <c r="D546" s="2"/>
    </row>
    <row r="547" spans="1:4">
      <c r="A547" s="1"/>
      <c r="D547" s="2"/>
    </row>
    <row r="548" spans="1:4">
      <c r="A548" s="1"/>
      <c r="D548" s="2"/>
    </row>
    <row r="549" spans="1:4">
      <c r="A549" s="1"/>
      <c r="D549" s="2"/>
    </row>
    <row r="550" spans="1:4">
      <c r="A550" s="1"/>
      <c r="D550" s="2"/>
    </row>
    <row r="551" spans="1:4">
      <c r="A551" s="1"/>
      <c r="D551" s="2"/>
    </row>
    <row r="552" spans="1:4">
      <c r="A552" s="1"/>
      <c r="D552" s="2"/>
    </row>
    <row r="553" spans="1:4">
      <c r="A553" s="1"/>
      <c r="D553" s="2"/>
    </row>
    <row r="554" spans="1:4">
      <c r="A554" s="1"/>
      <c r="D554" s="2"/>
    </row>
    <row r="555" spans="1:4">
      <c r="A555" s="1"/>
      <c r="D555" s="2"/>
    </row>
    <row r="556" spans="1:4">
      <c r="A556" s="1"/>
      <c r="D556" s="2"/>
    </row>
    <row r="557" spans="1:4">
      <c r="A557" s="1"/>
      <c r="D557" s="2"/>
    </row>
    <row r="558" spans="1:4">
      <c r="A558" s="1"/>
      <c r="D558" s="2"/>
    </row>
    <row r="559" spans="1:4">
      <c r="A559" s="1"/>
      <c r="D559" s="2"/>
    </row>
    <row r="560" spans="1:4">
      <c r="A560" s="1"/>
      <c r="D560" s="2"/>
    </row>
    <row r="561" spans="1:4">
      <c r="A561" s="1"/>
      <c r="D561" s="2"/>
    </row>
    <row r="562" spans="1:4">
      <c r="A562" s="1"/>
      <c r="D562" s="2"/>
    </row>
    <row r="563" spans="1:4">
      <c r="A563" s="1"/>
      <c r="D563" s="2"/>
    </row>
    <row r="564" spans="1:4">
      <c r="A564" s="1"/>
      <c r="D564" s="2"/>
    </row>
    <row r="565" spans="1:4">
      <c r="A565" s="1"/>
      <c r="D565" s="2"/>
    </row>
    <row r="566" spans="1:4">
      <c r="A566" s="1"/>
      <c r="D566" s="2"/>
    </row>
    <row r="567" spans="1:4">
      <c r="A567" s="1"/>
      <c r="D567" s="2"/>
    </row>
    <row r="568" spans="1:4">
      <c r="A568" s="1"/>
      <c r="D568" s="2"/>
    </row>
    <row r="569" spans="1:4">
      <c r="A569" s="1"/>
      <c r="D569" s="2"/>
    </row>
    <row r="570" spans="1:4">
      <c r="A570" s="1"/>
      <c r="D570" s="2"/>
    </row>
    <row r="571" spans="1:4">
      <c r="A571" s="1"/>
      <c r="D571" s="2"/>
    </row>
    <row r="572" spans="1:4">
      <c r="A572" s="1"/>
      <c r="D572" s="2"/>
    </row>
    <row r="573" spans="1:4">
      <c r="A573" s="1"/>
      <c r="D573" s="2"/>
    </row>
    <row r="574" spans="1:4">
      <c r="A574" s="1"/>
      <c r="D574" s="2"/>
    </row>
    <row r="575" spans="1:4">
      <c r="A575" s="1"/>
      <c r="D575" s="2"/>
    </row>
    <row r="576" spans="1:4">
      <c r="A576" s="1"/>
      <c r="D576" s="2"/>
    </row>
    <row r="577" spans="1:4">
      <c r="A577" s="1"/>
      <c r="D577" s="2"/>
    </row>
    <row r="578" spans="1:4">
      <c r="A578" s="1"/>
      <c r="D578" s="2"/>
    </row>
    <row r="579" spans="1:4">
      <c r="A579" s="1"/>
      <c r="D579" s="2"/>
    </row>
    <row r="580" spans="1:4">
      <c r="A580" s="1"/>
      <c r="D580" s="2"/>
    </row>
    <row r="581" spans="1:4">
      <c r="A581" s="1"/>
      <c r="D581" s="2"/>
    </row>
    <row r="582" spans="1:4">
      <c r="A582" s="1"/>
      <c r="D582" s="2"/>
    </row>
    <row r="583" spans="1:4">
      <c r="A583" s="1"/>
      <c r="D583" s="2"/>
    </row>
    <row r="584" spans="1:4">
      <c r="A584" s="1"/>
      <c r="D584" s="2"/>
    </row>
    <row r="585" spans="1:4">
      <c r="A585" s="1"/>
      <c r="D585" s="2"/>
    </row>
    <row r="586" spans="1:4">
      <c r="A586" s="1"/>
      <c r="D586" s="2"/>
    </row>
    <row r="587" spans="1:4">
      <c r="A587" s="1"/>
      <c r="D587" s="2"/>
    </row>
    <row r="588" spans="1:4">
      <c r="A588" s="1"/>
      <c r="D588" s="2"/>
    </row>
    <row r="589" spans="1:4">
      <c r="A589" s="1"/>
      <c r="D589" s="2"/>
    </row>
    <row r="590" spans="1:4">
      <c r="A590" s="1"/>
      <c r="D590" s="2"/>
    </row>
    <row r="591" spans="1:4">
      <c r="A591" s="1"/>
      <c r="D591" s="2"/>
    </row>
    <row r="592" spans="1:4">
      <c r="A592" s="1"/>
      <c r="D592" s="2"/>
    </row>
    <row r="593" spans="1:4">
      <c r="A593" s="1"/>
      <c r="D593" s="2"/>
    </row>
    <row r="594" spans="1:4">
      <c r="A594" s="1"/>
      <c r="D594" s="2"/>
    </row>
    <row r="595" spans="1:4">
      <c r="A595" s="1"/>
      <c r="D595" s="2"/>
    </row>
    <row r="596" spans="1:4">
      <c r="A596" s="1"/>
      <c r="D596" s="2"/>
    </row>
    <row r="597" spans="1:4">
      <c r="A597" s="1"/>
      <c r="D597" s="2"/>
    </row>
    <row r="598" spans="1:4">
      <c r="A598" s="1"/>
      <c r="D598" s="2"/>
    </row>
    <row r="599" spans="1:4">
      <c r="A599" s="1"/>
      <c r="D599" s="2"/>
    </row>
    <row r="600" spans="1:4">
      <c r="A600" s="1"/>
      <c r="D600" s="2"/>
    </row>
    <row r="601" spans="1:4">
      <c r="A601" s="1"/>
      <c r="D601" s="2"/>
    </row>
    <row r="602" spans="1:4">
      <c r="A602" s="1"/>
      <c r="D602" s="2"/>
    </row>
    <row r="603" spans="1:4">
      <c r="A603" s="1"/>
      <c r="D603" s="2"/>
    </row>
    <row r="604" spans="1:4">
      <c r="A604" s="1"/>
      <c r="D604" s="2"/>
    </row>
    <row r="605" spans="1:4">
      <c r="A605" s="1"/>
      <c r="D605" s="2"/>
    </row>
    <row r="606" spans="1:4">
      <c r="A606" s="1"/>
      <c r="D606" s="2"/>
    </row>
    <row r="607" spans="1:4">
      <c r="A607" s="1"/>
      <c r="D607" s="2"/>
    </row>
    <row r="608" spans="1:4">
      <c r="A608" s="1"/>
      <c r="D608" s="2"/>
    </row>
    <row r="609" spans="1:4">
      <c r="A609" s="1"/>
      <c r="D609" s="2"/>
    </row>
    <row r="610" spans="1:4">
      <c r="A610" s="1"/>
      <c r="D610" s="2"/>
    </row>
    <row r="611" spans="1:4">
      <c r="A611" s="1"/>
      <c r="D611" s="2"/>
    </row>
    <row r="612" spans="1:4">
      <c r="A612" s="1"/>
      <c r="D612" s="2"/>
    </row>
    <row r="613" spans="1:4">
      <c r="A613" s="1"/>
      <c r="D613" s="2"/>
    </row>
    <row r="614" spans="1:4">
      <c r="A614" s="1"/>
      <c r="D614" s="2"/>
    </row>
    <row r="615" spans="1:4">
      <c r="A615" s="1"/>
      <c r="D615" s="2"/>
    </row>
    <row r="616" spans="1:4">
      <c r="A616" s="1"/>
      <c r="D616" s="2"/>
    </row>
    <row r="617" spans="1:4">
      <c r="A617" s="1"/>
      <c r="D617" s="2"/>
    </row>
    <row r="618" spans="1:4">
      <c r="A618" s="1"/>
      <c r="D618" s="2"/>
    </row>
    <row r="619" spans="1:4">
      <c r="A619" s="1"/>
      <c r="D619" s="2"/>
    </row>
    <row r="620" spans="1:4">
      <c r="A620" s="1"/>
      <c r="D620" s="2"/>
    </row>
    <row r="621" spans="1:4">
      <c r="A621" s="1"/>
      <c r="D621" s="2"/>
    </row>
    <row r="622" spans="1:4">
      <c r="A622" s="1"/>
      <c r="D622" s="2"/>
    </row>
    <row r="623" spans="1:4">
      <c r="A623" s="1"/>
      <c r="D623" s="2"/>
    </row>
    <row r="624" spans="1:4">
      <c r="A624" s="1"/>
      <c r="D624" s="2"/>
    </row>
    <row r="625" spans="1:4">
      <c r="A625" s="1"/>
      <c r="D625" s="2"/>
    </row>
    <row r="626" spans="1:4">
      <c r="A626" s="1"/>
      <c r="D626" s="2"/>
    </row>
    <row r="627" spans="1:4">
      <c r="A627" s="1"/>
      <c r="D627" s="2"/>
    </row>
    <row r="628" spans="1:4">
      <c r="A628" s="1"/>
      <c r="D628" s="2"/>
    </row>
    <row r="629" spans="1:4">
      <c r="A629" s="1"/>
      <c r="D629" s="2"/>
    </row>
    <row r="630" spans="1:4">
      <c r="A630" s="1"/>
      <c r="D630" s="2"/>
    </row>
    <row r="631" spans="1:4">
      <c r="A631" s="1"/>
      <c r="D631" s="2"/>
    </row>
    <row r="632" spans="1:4">
      <c r="A632" s="1"/>
      <c r="D632" s="2"/>
    </row>
    <row r="633" spans="1:4">
      <c r="A633" s="1"/>
      <c r="D633" s="2"/>
    </row>
    <row r="634" spans="1:4">
      <c r="A634" s="1"/>
      <c r="D634" s="2"/>
    </row>
    <row r="635" spans="1:4">
      <c r="A635" s="1"/>
      <c r="D635" s="2"/>
    </row>
    <row r="636" spans="1:4">
      <c r="A636" s="1"/>
      <c r="D636" s="2"/>
    </row>
    <row r="637" spans="1:4">
      <c r="A637" s="1"/>
      <c r="D637" s="2"/>
    </row>
    <row r="638" spans="1:4">
      <c r="A638" s="1"/>
      <c r="D638" s="2"/>
    </row>
    <row r="639" spans="1:4">
      <c r="A639" s="1"/>
      <c r="D639" s="2"/>
    </row>
    <row r="640" spans="1:4">
      <c r="A640" s="1"/>
      <c r="D640" s="2"/>
    </row>
    <row r="641" spans="1:4">
      <c r="A641" s="1"/>
      <c r="D641" s="2"/>
    </row>
    <row r="642" spans="1:4">
      <c r="A642" s="1"/>
      <c r="D642" s="2"/>
    </row>
    <row r="643" spans="1:4">
      <c r="A643" s="1"/>
      <c r="D643" s="2"/>
    </row>
    <row r="644" spans="1:4">
      <c r="A644" s="1"/>
      <c r="D644" s="2"/>
    </row>
    <row r="645" spans="1:4">
      <c r="A645" s="1"/>
      <c r="D645" s="2"/>
    </row>
    <row r="646" spans="1:4">
      <c r="A646" s="1"/>
      <c r="D646" s="2"/>
    </row>
    <row r="647" spans="1:4">
      <c r="A647" s="1"/>
      <c r="D647" s="2"/>
    </row>
    <row r="648" spans="1:4">
      <c r="A648" s="1"/>
      <c r="D648" s="2"/>
    </row>
    <row r="649" spans="1:4">
      <c r="A649" s="1"/>
      <c r="D649" s="2"/>
    </row>
    <row r="650" spans="1:4">
      <c r="A650" s="1"/>
      <c r="D650" s="2"/>
    </row>
    <row r="651" spans="1:4">
      <c r="A651" s="1"/>
      <c r="D651" s="2"/>
    </row>
    <row r="652" spans="1:4">
      <c r="A652" s="1"/>
      <c r="D652" s="2"/>
    </row>
    <row r="653" spans="1:4">
      <c r="A653" s="1"/>
      <c r="D653" s="2"/>
    </row>
    <row r="654" spans="1:4">
      <c r="A654" s="1"/>
      <c r="D654" s="2"/>
    </row>
    <row r="655" spans="1:4">
      <c r="A655" s="1"/>
      <c r="D655" s="2"/>
    </row>
    <row r="656" spans="1:4">
      <c r="A656" s="1"/>
      <c r="D656" s="2"/>
    </row>
    <row r="657" spans="1:4">
      <c r="A657" s="1"/>
      <c r="D657" s="2"/>
    </row>
    <row r="658" spans="1:4">
      <c r="A658" s="1"/>
      <c r="D658" s="2"/>
    </row>
    <row r="659" spans="1:4">
      <c r="A659" s="1"/>
      <c r="D659" s="2"/>
    </row>
    <row r="660" spans="1:4">
      <c r="A660" s="1"/>
      <c r="D660" s="2"/>
    </row>
    <row r="661" spans="1:4">
      <c r="A661" s="1"/>
      <c r="D661" s="2"/>
    </row>
    <row r="662" spans="1:4">
      <c r="A662" s="1"/>
      <c r="D662" s="2"/>
    </row>
    <row r="663" spans="1:4">
      <c r="A663" s="1"/>
      <c r="D663" s="2"/>
    </row>
    <row r="664" spans="1:4">
      <c r="A664" s="1"/>
      <c r="D664" s="2"/>
    </row>
    <row r="665" spans="1:4">
      <c r="A665" s="1"/>
      <c r="D665" s="2"/>
    </row>
    <row r="666" spans="1:4">
      <c r="A666" s="1"/>
      <c r="D666" s="2"/>
    </row>
    <row r="667" spans="1:4">
      <c r="A667" s="1"/>
      <c r="D667" s="2"/>
    </row>
    <row r="668" spans="1:4">
      <c r="A668" s="1"/>
      <c r="D668" s="2"/>
    </row>
    <row r="669" spans="1:4">
      <c r="A669" s="1"/>
      <c r="D669" s="2"/>
    </row>
    <row r="670" spans="1:4">
      <c r="A670" s="1"/>
      <c r="D670" s="2"/>
    </row>
    <row r="671" spans="1:4">
      <c r="A671" s="1"/>
      <c r="D671" s="2"/>
    </row>
    <row r="672" spans="1:4">
      <c r="A672" s="1"/>
      <c r="D672" s="2"/>
    </row>
    <row r="673" spans="1:4">
      <c r="A673" s="1"/>
      <c r="D673" s="2"/>
    </row>
    <row r="674" spans="1:4">
      <c r="A674" s="1"/>
      <c r="D674" s="2"/>
    </row>
    <row r="675" spans="1:4">
      <c r="A675" s="1"/>
      <c r="D675" s="2"/>
    </row>
    <row r="676" spans="1:4">
      <c r="A676" s="1"/>
      <c r="D676" s="2"/>
    </row>
    <row r="677" spans="1:4">
      <c r="A677" s="1"/>
      <c r="D677" s="2"/>
    </row>
    <row r="678" spans="1:4">
      <c r="A678" s="1"/>
      <c r="D678" s="2"/>
    </row>
    <row r="679" spans="1:4">
      <c r="A679" s="1"/>
      <c r="D679" s="2"/>
    </row>
    <row r="680" spans="1:4">
      <c r="A680" s="1"/>
      <c r="D680" s="2"/>
    </row>
    <row r="681" spans="1:4">
      <c r="A681" s="1"/>
      <c r="D681" s="2"/>
    </row>
    <row r="682" spans="1:4">
      <c r="A682" s="1"/>
      <c r="D682" s="2"/>
    </row>
    <row r="683" spans="1:4">
      <c r="A683" s="1"/>
      <c r="D683" s="2"/>
    </row>
    <row r="684" spans="1:4">
      <c r="A684" s="1"/>
      <c r="D684" s="2"/>
    </row>
    <row r="685" spans="1:4">
      <c r="A685" s="1"/>
      <c r="D685" s="2"/>
    </row>
    <row r="686" spans="1:4">
      <c r="A686" s="1"/>
      <c r="D686" s="2"/>
    </row>
    <row r="687" spans="1:4">
      <c r="A687" s="1"/>
      <c r="D687" s="2"/>
    </row>
    <row r="688" spans="1:4">
      <c r="A688" s="1"/>
      <c r="D688" s="2"/>
    </row>
    <row r="689" spans="1:4">
      <c r="A689" s="1"/>
      <c r="D689" s="2"/>
    </row>
    <row r="690" spans="1:4">
      <c r="A690" s="1"/>
      <c r="D690" s="2"/>
    </row>
    <row r="691" spans="1:4">
      <c r="A691" s="1"/>
      <c r="D691" s="2"/>
    </row>
    <row r="692" spans="1:4">
      <c r="A692" s="1"/>
      <c r="D692" s="2"/>
    </row>
    <row r="693" spans="1:4">
      <c r="A693" s="1"/>
      <c r="D693" s="2"/>
    </row>
    <row r="694" spans="1:4">
      <c r="A694" s="1"/>
      <c r="D694" s="2"/>
    </row>
    <row r="695" spans="1:4">
      <c r="A695" s="1"/>
      <c r="D695" s="2"/>
    </row>
    <row r="696" spans="1:4">
      <c r="A696" s="1"/>
      <c r="D696" s="2"/>
    </row>
    <row r="697" spans="1:4">
      <c r="A697" s="1"/>
      <c r="D697" s="2"/>
    </row>
    <row r="698" spans="1:4">
      <c r="A698" s="1"/>
      <c r="D698" s="2"/>
    </row>
    <row r="699" spans="1:4">
      <c r="A699" s="1"/>
      <c r="D699" s="2"/>
    </row>
    <row r="700" spans="1:4">
      <c r="A700" s="1"/>
      <c r="D700" s="2"/>
    </row>
    <row r="701" spans="1:4">
      <c r="A701" s="1"/>
      <c r="D701" s="2"/>
    </row>
    <row r="702" spans="1:4">
      <c r="A702" s="1"/>
      <c r="D702" s="2"/>
    </row>
    <row r="703" spans="1:4">
      <c r="A703" s="1"/>
      <c r="D703" s="2"/>
    </row>
    <row r="704" spans="1:4">
      <c r="A704" s="1"/>
      <c r="D704" s="2"/>
    </row>
    <row r="705" spans="1:4">
      <c r="A705" s="1"/>
      <c r="D705" s="2"/>
    </row>
    <row r="706" spans="1:4">
      <c r="A706" s="1"/>
      <c r="D706" s="2"/>
    </row>
    <row r="707" spans="1:4">
      <c r="A707" s="1"/>
      <c r="D707" s="2"/>
    </row>
    <row r="708" spans="1:4">
      <c r="A708" s="1"/>
      <c r="D708" s="2"/>
    </row>
    <row r="709" spans="1:4">
      <c r="A709" s="1"/>
      <c r="D709" s="2"/>
    </row>
    <row r="710" spans="1:4">
      <c r="A710" s="1"/>
      <c r="D710" s="2"/>
    </row>
    <row r="711" spans="1:4">
      <c r="A711" s="1"/>
      <c r="D711" s="2"/>
    </row>
    <row r="712" spans="1:4">
      <c r="A712" s="1"/>
      <c r="D712" s="2"/>
    </row>
    <row r="713" spans="1:4">
      <c r="A713" s="1"/>
      <c r="D713" s="2"/>
    </row>
    <row r="714" spans="1:4">
      <c r="A714" s="1"/>
      <c r="D714" s="2"/>
    </row>
    <row r="715" spans="1:4">
      <c r="A715" s="1"/>
      <c r="D715" s="2"/>
    </row>
    <row r="716" spans="1:4">
      <c r="A716" s="1"/>
      <c r="D716" s="2"/>
    </row>
    <row r="717" spans="1:4">
      <c r="A717" s="1"/>
      <c r="D717" s="2"/>
    </row>
    <row r="718" spans="1:4">
      <c r="A718" s="1"/>
      <c r="D718" s="2"/>
    </row>
    <row r="719" spans="1:4">
      <c r="A719" s="1"/>
      <c r="D719" s="2"/>
    </row>
    <row r="720" spans="1:4">
      <c r="A720" s="1"/>
      <c r="D720" s="2"/>
    </row>
    <row r="721" spans="1:4">
      <c r="A721" s="1"/>
      <c r="D721" s="2"/>
    </row>
    <row r="722" spans="1:4">
      <c r="A722" s="1"/>
      <c r="D722" s="2"/>
    </row>
    <row r="723" spans="1:4">
      <c r="A723" s="1"/>
      <c r="D723" s="2"/>
    </row>
    <row r="724" spans="1:4">
      <c r="A724" s="1"/>
      <c r="D724" s="2"/>
    </row>
    <row r="725" spans="1:4">
      <c r="A725" s="1"/>
      <c r="D725" s="2"/>
    </row>
    <row r="726" spans="1:4">
      <c r="A726" s="1"/>
      <c r="D726" s="2"/>
    </row>
    <row r="727" spans="1:4">
      <c r="A727" s="1"/>
      <c r="D727" s="2"/>
    </row>
    <row r="728" spans="1:4">
      <c r="A728" s="1"/>
      <c r="D728" s="2"/>
    </row>
    <row r="729" spans="1:4">
      <c r="A729" s="1"/>
      <c r="D729" s="2"/>
    </row>
    <row r="730" spans="1:4">
      <c r="A730" s="1"/>
      <c r="D730" s="2"/>
    </row>
    <row r="731" spans="1:4">
      <c r="A731" s="1"/>
      <c r="D731" s="2"/>
    </row>
    <row r="732" spans="1:4">
      <c r="A732" s="1"/>
      <c r="D732" s="2"/>
    </row>
    <row r="733" spans="1:4">
      <c r="A733" s="1"/>
      <c r="D733" s="2"/>
    </row>
    <row r="734" spans="1:4">
      <c r="A734" s="1"/>
      <c r="D734" s="2"/>
    </row>
    <row r="735" spans="1:4">
      <c r="A735" s="1"/>
      <c r="D735" s="2"/>
    </row>
    <row r="736" spans="1:4">
      <c r="A736" s="1"/>
      <c r="D736" s="2"/>
    </row>
    <row r="737" spans="1:4">
      <c r="A737" s="1"/>
      <c r="D737" s="2"/>
    </row>
    <row r="738" spans="1:4">
      <c r="A738" s="1"/>
      <c r="D738" s="2"/>
    </row>
    <row r="739" spans="1:4">
      <c r="A739" s="1"/>
      <c r="D739" s="2"/>
    </row>
    <row r="740" spans="1:4">
      <c r="A740" s="1"/>
      <c r="D740" s="2"/>
    </row>
    <row r="741" spans="1:4">
      <c r="A741" s="1"/>
      <c r="D741" s="2"/>
    </row>
    <row r="742" spans="1:4">
      <c r="A742" s="1"/>
      <c r="D742" s="2"/>
    </row>
    <row r="743" spans="1:4">
      <c r="A743" s="1"/>
      <c r="D743" s="2"/>
    </row>
    <row r="744" spans="1:4">
      <c r="A744" s="1"/>
      <c r="D744" s="2"/>
    </row>
    <row r="745" spans="1:4">
      <c r="A745" s="1"/>
      <c r="D745" s="2"/>
    </row>
    <row r="746" spans="1:4">
      <c r="A746" s="1"/>
      <c r="D746" s="2"/>
    </row>
    <row r="747" spans="1:4">
      <c r="A747" s="1"/>
      <c r="D747" s="2"/>
    </row>
    <row r="748" spans="1:4">
      <c r="A748" s="1"/>
      <c r="D748" s="2"/>
    </row>
    <row r="749" spans="1:4">
      <c r="A749" s="1"/>
      <c r="D749" s="2"/>
    </row>
    <row r="750" spans="1:4">
      <c r="A750" s="1"/>
      <c r="D750" s="2"/>
    </row>
    <row r="751" spans="1:4">
      <c r="A751" s="1"/>
      <c r="D751" s="2"/>
    </row>
    <row r="752" spans="1:4">
      <c r="A752" s="1"/>
      <c r="D752" s="2"/>
    </row>
    <row r="753" spans="1:4">
      <c r="A753" s="1"/>
      <c r="D753" s="2"/>
    </row>
    <row r="754" spans="1:4">
      <c r="A754" s="1"/>
      <c r="D754" s="2"/>
    </row>
    <row r="755" spans="1:4">
      <c r="A755" s="1"/>
      <c r="D755" s="2"/>
    </row>
    <row r="756" spans="1:4">
      <c r="A756" s="1"/>
      <c r="D756" s="2"/>
    </row>
    <row r="757" spans="1:4">
      <c r="A757" s="1"/>
      <c r="D757" s="2"/>
    </row>
    <row r="758" spans="1:4">
      <c r="A758" s="1"/>
      <c r="D758" s="2"/>
    </row>
    <row r="759" spans="1:4">
      <c r="A759" s="1"/>
      <c r="D759" s="2"/>
    </row>
    <row r="760" spans="1:4">
      <c r="A760" s="1"/>
      <c r="D760" s="2"/>
    </row>
    <row r="761" spans="1:4">
      <c r="A761" s="1"/>
      <c r="D761" s="2"/>
    </row>
    <row r="762" spans="1:4">
      <c r="A762" s="1"/>
      <c r="D762" s="2"/>
    </row>
    <row r="763" spans="1:4">
      <c r="A763" s="1"/>
      <c r="D763" s="2"/>
    </row>
    <row r="764" spans="1:4">
      <c r="A764" s="1"/>
      <c r="D764" s="2"/>
    </row>
    <row r="765" spans="1:4">
      <c r="A765" s="1"/>
      <c r="D765" s="2"/>
    </row>
    <row r="766" spans="1:4">
      <c r="A766" s="1"/>
      <c r="D766" s="2"/>
    </row>
    <row r="767" spans="1:4">
      <c r="A767" s="1"/>
      <c r="D767" s="2"/>
    </row>
    <row r="768" spans="1:4">
      <c r="A768" s="1"/>
      <c r="D768" s="2"/>
    </row>
    <row r="769" spans="1:4">
      <c r="A769" s="1"/>
      <c r="D769" s="2"/>
    </row>
    <row r="770" spans="1:4">
      <c r="A770" s="1"/>
      <c r="D770" s="2"/>
    </row>
    <row r="771" spans="1:4">
      <c r="A771" s="1"/>
      <c r="D771" s="2"/>
    </row>
    <row r="772" spans="1:4">
      <c r="A772" s="1"/>
      <c r="D772" s="2"/>
    </row>
    <row r="773" spans="1:4">
      <c r="A773" s="1"/>
      <c r="D773" s="2"/>
    </row>
    <row r="774" spans="1:4">
      <c r="A774" s="1"/>
      <c r="D774" s="2"/>
    </row>
    <row r="775" spans="1:4">
      <c r="A775" s="1"/>
      <c r="D775" s="2"/>
    </row>
    <row r="776" spans="1:4">
      <c r="A776" s="1"/>
      <c r="D776" s="2"/>
    </row>
    <row r="777" spans="1:4">
      <c r="A777" s="1"/>
      <c r="D777" s="2"/>
    </row>
    <row r="778" spans="1:4">
      <c r="A778" s="1"/>
      <c r="D778" s="2"/>
    </row>
    <row r="779" spans="1:4">
      <c r="A779" s="1"/>
      <c r="D779" s="2"/>
    </row>
    <row r="780" spans="1:4">
      <c r="A780" s="1"/>
      <c r="D780" s="2"/>
    </row>
    <row r="781" spans="1:4">
      <c r="A781" s="1"/>
      <c r="D781" s="2"/>
    </row>
    <row r="782" spans="1:4">
      <c r="A782" s="1"/>
      <c r="D782" s="2"/>
    </row>
    <row r="783" spans="1:4">
      <c r="A783" s="1"/>
      <c r="D783" s="2"/>
    </row>
    <row r="784" spans="1:4">
      <c r="A784" s="1"/>
      <c r="D784" s="2"/>
    </row>
    <row r="785" spans="1:4">
      <c r="A785" s="1"/>
      <c r="D785" s="2"/>
    </row>
    <row r="786" spans="1:4">
      <c r="A786" s="1"/>
      <c r="D786" s="2"/>
    </row>
    <row r="787" spans="1:4">
      <c r="A787" s="1"/>
      <c r="D787" s="2"/>
    </row>
    <row r="788" spans="1:4">
      <c r="A788" s="1"/>
      <c r="D788" s="2"/>
    </row>
    <row r="789" spans="1:4">
      <c r="A789" s="1"/>
      <c r="D789" s="2"/>
    </row>
    <row r="790" spans="1:4">
      <c r="A790" s="1"/>
      <c r="D790" s="2"/>
    </row>
    <row r="791" spans="1:4">
      <c r="A791" s="1"/>
      <c r="D791" s="2"/>
    </row>
    <row r="792" spans="1:4">
      <c r="A792" s="1"/>
      <c r="D792" s="2"/>
    </row>
    <row r="793" spans="1:4">
      <c r="A793" s="1"/>
      <c r="D793" s="2"/>
    </row>
    <row r="794" spans="1:4">
      <c r="A794" s="1"/>
      <c r="D794" s="2"/>
    </row>
    <row r="795" spans="1:4">
      <c r="A795" s="1"/>
      <c r="D795" s="2"/>
    </row>
    <row r="796" spans="1:4">
      <c r="A796" s="1"/>
      <c r="D796" s="2"/>
    </row>
    <row r="797" spans="1:4">
      <c r="A797" s="1"/>
      <c r="D797" s="2"/>
    </row>
    <row r="798" spans="1:4">
      <c r="A798" s="1"/>
      <c r="D798" s="2"/>
    </row>
    <row r="799" spans="1:4">
      <c r="A799" s="1"/>
      <c r="D799" s="2"/>
    </row>
    <row r="800" spans="1:4">
      <c r="A800" s="1"/>
      <c r="D800" s="2"/>
    </row>
    <row r="801" spans="1:4">
      <c r="A801" s="1"/>
      <c r="D801" s="2"/>
    </row>
    <row r="802" spans="1:4">
      <c r="A802" s="1"/>
      <c r="D802" s="2"/>
    </row>
    <row r="803" spans="1:4">
      <c r="A803" s="1"/>
      <c r="D803" s="2"/>
    </row>
    <row r="804" spans="1:4">
      <c r="A804" s="1"/>
      <c r="D804" s="2"/>
    </row>
    <row r="805" spans="1:4">
      <c r="A805" s="1"/>
      <c r="D805" s="2"/>
    </row>
    <row r="806" spans="1:4">
      <c r="A806" s="1"/>
      <c r="D806" s="2"/>
    </row>
    <row r="807" spans="1:4">
      <c r="A807" s="1"/>
      <c r="D807" s="2"/>
    </row>
    <row r="808" spans="1:4">
      <c r="A808" s="1"/>
      <c r="D808" s="2"/>
    </row>
    <row r="809" spans="1:4">
      <c r="A809" s="1"/>
      <c r="D809" s="2"/>
    </row>
    <row r="810" spans="1:4">
      <c r="A810" s="1"/>
      <c r="D810" s="2"/>
    </row>
    <row r="811" spans="1:4">
      <c r="A811" s="1"/>
      <c r="D811" s="2"/>
    </row>
    <row r="812" spans="1:4">
      <c r="A812" s="1"/>
      <c r="D812" s="2"/>
    </row>
    <row r="813" spans="1:4">
      <c r="A813" s="1"/>
      <c r="D813" s="2"/>
    </row>
    <row r="814" spans="1:4">
      <c r="A814" s="1"/>
      <c r="D814" s="2"/>
    </row>
    <row r="815" spans="1:4">
      <c r="A815" s="1"/>
      <c r="D815" s="2"/>
    </row>
    <row r="816" spans="1:4">
      <c r="A816" s="1"/>
      <c r="D816" s="2"/>
    </row>
    <row r="817" spans="1:4">
      <c r="A817" s="1"/>
      <c r="D817" s="2"/>
    </row>
    <row r="818" spans="1:4">
      <c r="A818" s="1"/>
      <c r="D818" s="2"/>
    </row>
    <row r="819" spans="1:4">
      <c r="A819" s="1"/>
      <c r="D819" s="2"/>
    </row>
    <row r="820" spans="1:4">
      <c r="A820" s="1"/>
      <c r="D820" s="2"/>
    </row>
    <row r="821" spans="1:4">
      <c r="A821" s="1"/>
      <c r="D821" s="2"/>
    </row>
    <row r="822" spans="1:4">
      <c r="A822" s="1"/>
      <c r="D822" s="2"/>
    </row>
    <row r="823" spans="1:4">
      <c r="A823" s="1"/>
      <c r="D823" s="2"/>
    </row>
    <row r="824" spans="1:4">
      <c r="A824" s="1"/>
      <c r="D824" s="2"/>
    </row>
    <row r="825" spans="1:4">
      <c r="A825" s="1"/>
      <c r="D825" s="2"/>
    </row>
    <row r="826" spans="1:4">
      <c r="A826" s="1"/>
      <c r="D826" s="2"/>
    </row>
    <row r="827" spans="1:4">
      <c r="A827" s="1"/>
      <c r="D827" s="2"/>
    </row>
    <row r="828" spans="1:4">
      <c r="A828" s="1"/>
      <c r="D828" s="2"/>
    </row>
    <row r="829" spans="1:4">
      <c r="A829" s="1"/>
      <c r="D829" s="2"/>
    </row>
    <row r="830" spans="1:4">
      <c r="A830" s="1"/>
      <c r="D830" s="2"/>
    </row>
    <row r="831" spans="1:4">
      <c r="A831" s="1"/>
      <c r="D831" s="2"/>
    </row>
    <row r="832" spans="1:4">
      <c r="A832" s="1"/>
      <c r="D832" s="2"/>
    </row>
    <row r="833" spans="1:4">
      <c r="A833" s="1"/>
      <c r="D833" s="2"/>
    </row>
    <row r="834" spans="1:4">
      <c r="A834" s="1"/>
      <c r="D834" s="2"/>
    </row>
    <row r="835" spans="1:4">
      <c r="A835" s="1"/>
      <c r="D835" s="2"/>
    </row>
    <row r="836" spans="1:4">
      <c r="A836" s="1"/>
      <c r="D836" s="2"/>
    </row>
    <row r="837" spans="1:4">
      <c r="A837" s="1"/>
      <c r="D837" s="2"/>
    </row>
    <row r="838" spans="1:4">
      <c r="A838" s="1"/>
      <c r="D838" s="2"/>
    </row>
    <row r="839" spans="1:4">
      <c r="A839" s="1"/>
      <c r="D839" s="2"/>
    </row>
    <row r="840" spans="1:4">
      <c r="A840" s="1"/>
      <c r="D840" s="2"/>
    </row>
    <row r="841" spans="1:4">
      <c r="A841" s="1"/>
      <c r="D841" s="2"/>
    </row>
    <row r="842" spans="1:4">
      <c r="A842" s="1"/>
      <c r="D842" s="2"/>
    </row>
    <row r="843" spans="1:4">
      <c r="A843" s="1"/>
      <c r="D843" s="2"/>
    </row>
    <row r="844" spans="1:4">
      <c r="A844" s="1"/>
      <c r="D844" s="2"/>
    </row>
    <row r="845" spans="1:4">
      <c r="A845" s="1"/>
      <c r="D845" s="2"/>
    </row>
    <row r="846" spans="1:4">
      <c r="A846" s="1"/>
      <c r="D846" s="2"/>
    </row>
    <row r="847" spans="1:4">
      <c r="A847" s="1"/>
      <c r="D847" s="2"/>
    </row>
    <row r="848" spans="1:4">
      <c r="A848" s="1"/>
      <c r="D848" s="2"/>
    </row>
    <row r="849" spans="1:4">
      <c r="A849" s="1"/>
      <c r="D849" s="2"/>
    </row>
    <row r="850" spans="1:4">
      <c r="A850" s="1"/>
      <c r="D850" s="2"/>
    </row>
    <row r="851" spans="1:4">
      <c r="A851" s="1"/>
      <c r="D851" s="2"/>
    </row>
    <row r="852" spans="1:4">
      <c r="A852" s="1"/>
      <c r="D852" s="2"/>
    </row>
    <row r="853" spans="1:4">
      <c r="A853" s="1"/>
      <c r="D853" s="2"/>
    </row>
    <row r="854" spans="1:4">
      <c r="A854" s="1"/>
      <c r="D854" s="2"/>
    </row>
    <row r="855" spans="1:4">
      <c r="A855" s="1"/>
      <c r="D855" s="2"/>
    </row>
    <row r="856" spans="1:4">
      <c r="A856" s="1"/>
      <c r="D856" s="2"/>
    </row>
    <row r="857" spans="1:4">
      <c r="A857" s="1"/>
      <c r="D857" s="2"/>
    </row>
    <row r="858" spans="1:4">
      <c r="A858" s="1"/>
      <c r="D858" s="2"/>
    </row>
    <row r="859" spans="1:4">
      <c r="A859" s="1"/>
      <c r="D859" s="2"/>
    </row>
    <row r="860" spans="1:4">
      <c r="A860" s="1"/>
      <c r="D860" s="2"/>
    </row>
    <row r="861" spans="1:4">
      <c r="A861" s="1"/>
      <c r="D861" s="2"/>
    </row>
    <row r="862" spans="1:4">
      <c r="A862" s="1"/>
      <c r="D862" s="2"/>
    </row>
    <row r="863" spans="1:4">
      <c r="A863" s="1"/>
      <c r="D863" s="2"/>
    </row>
    <row r="864" spans="1:4">
      <c r="A864" s="1"/>
      <c r="D864" s="2"/>
    </row>
    <row r="865" spans="1:4">
      <c r="A865" s="1"/>
      <c r="D865" s="2"/>
    </row>
    <row r="866" spans="1:4">
      <c r="A866" s="1"/>
      <c r="D866" s="2"/>
    </row>
    <row r="867" spans="1:4">
      <c r="A867" s="1"/>
      <c r="D867" s="2"/>
    </row>
    <row r="868" spans="1:4">
      <c r="A868" s="1"/>
      <c r="D868" s="2"/>
    </row>
    <row r="869" spans="1:4">
      <c r="A869" s="1"/>
      <c r="D869" s="2"/>
    </row>
    <row r="870" spans="1:4">
      <c r="A870" s="1"/>
      <c r="D870" s="2"/>
    </row>
    <row r="871" spans="1:4">
      <c r="A871" s="1"/>
      <c r="D871" s="2"/>
    </row>
    <row r="872" spans="1:4">
      <c r="A872" s="1"/>
      <c r="D872" s="2"/>
    </row>
    <row r="873" spans="1:4">
      <c r="A873" s="1"/>
      <c r="D873" s="2"/>
    </row>
    <row r="874" spans="1:4">
      <c r="A874" s="1"/>
      <c r="D874" s="2"/>
    </row>
    <row r="875" spans="1:4">
      <c r="A875" s="1"/>
      <c r="D875" s="2"/>
    </row>
    <row r="876" spans="1:4">
      <c r="A876" s="1"/>
      <c r="D876" s="2"/>
    </row>
    <row r="877" spans="1:4">
      <c r="A877" s="1"/>
      <c r="D877" s="2"/>
    </row>
    <row r="878" spans="1:4">
      <c r="A878" s="1"/>
      <c r="D878" s="2"/>
    </row>
    <row r="879" spans="1:4">
      <c r="A879" s="1"/>
      <c r="D879" s="2"/>
    </row>
    <row r="880" spans="1:4">
      <c r="A880" s="1"/>
      <c r="D880" s="2"/>
    </row>
    <row r="881" spans="1:4">
      <c r="A881" s="1"/>
      <c r="D881" s="2"/>
    </row>
    <row r="882" spans="1:4">
      <c r="A882" s="1"/>
      <c r="D882" s="2"/>
    </row>
    <row r="883" spans="1:4">
      <c r="A883" s="1"/>
      <c r="D883" s="2"/>
    </row>
    <row r="884" spans="1:4">
      <c r="A884" s="1"/>
      <c r="D884" s="2"/>
    </row>
    <row r="885" spans="1:4">
      <c r="A885" s="1"/>
      <c r="D885" s="2"/>
    </row>
    <row r="886" spans="1:4">
      <c r="A886" s="1"/>
      <c r="D886" s="2"/>
    </row>
    <row r="887" spans="1:4">
      <c r="A887" s="1"/>
      <c r="D887" s="2"/>
    </row>
    <row r="888" spans="1:4">
      <c r="A888" s="1"/>
      <c r="D888" s="2"/>
    </row>
    <row r="889" spans="1:4">
      <c r="A889" s="1"/>
      <c r="D889" s="2"/>
    </row>
    <row r="890" spans="1:4">
      <c r="A890" s="1"/>
      <c r="D890" s="2"/>
    </row>
    <row r="891" spans="1:4">
      <c r="A891" s="1"/>
      <c r="D891" s="2"/>
    </row>
    <row r="892" spans="1:4">
      <c r="A892" s="1"/>
      <c r="D892" s="2"/>
    </row>
    <row r="893" spans="1:4">
      <c r="A893" s="1"/>
      <c r="D893" s="2"/>
    </row>
    <row r="894" spans="1:4">
      <c r="A894" s="1"/>
      <c r="D894" s="2"/>
    </row>
    <row r="895" spans="1:4">
      <c r="A895" s="1"/>
      <c r="D895" s="2"/>
    </row>
    <row r="896" spans="1:4">
      <c r="A896" s="1"/>
      <c r="D896" s="2"/>
    </row>
    <row r="897" spans="1:4">
      <c r="A897" s="1"/>
      <c r="D897" s="2"/>
    </row>
    <row r="898" spans="1:4">
      <c r="A898" s="1"/>
      <c r="D898" s="2"/>
    </row>
    <row r="899" spans="1:4">
      <c r="A899" s="1"/>
      <c r="D899" s="2"/>
    </row>
    <row r="900" spans="1:4">
      <c r="A900" s="1"/>
      <c r="D900" s="2"/>
    </row>
    <row r="901" spans="1:4">
      <c r="A901" s="1"/>
      <c r="D901" s="2"/>
    </row>
    <row r="902" spans="1:4">
      <c r="A902" s="1"/>
      <c r="D902" s="2"/>
    </row>
    <row r="903" spans="1:4">
      <c r="A903" s="1"/>
      <c r="D903" s="2"/>
    </row>
    <row r="904" spans="1:4">
      <c r="A904" s="1"/>
      <c r="D904" s="2"/>
    </row>
    <row r="905" spans="1:4">
      <c r="A905" s="1"/>
      <c r="D905" s="2"/>
    </row>
    <row r="906" spans="1:4">
      <c r="A906" s="1"/>
      <c r="D906" s="2"/>
    </row>
    <row r="907" spans="1:4">
      <c r="A907" s="1"/>
      <c r="D907" s="2"/>
    </row>
    <row r="908" spans="1:4">
      <c r="A908" s="1"/>
      <c r="D908" s="2"/>
    </row>
    <row r="909" spans="1:4">
      <c r="A909" s="1"/>
      <c r="D909" s="2"/>
    </row>
    <row r="910" spans="1:4">
      <c r="A910" s="1"/>
      <c r="D910" s="2"/>
    </row>
    <row r="911" spans="1:4">
      <c r="A911" s="1"/>
      <c r="D911" s="2"/>
    </row>
    <row r="912" spans="1:4">
      <c r="A912" s="1"/>
      <c r="D912" s="2"/>
    </row>
    <row r="913" spans="1:4">
      <c r="A913" s="1"/>
      <c r="D913" s="2"/>
    </row>
    <row r="914" spans="1:4">
      <c r="A914" s="1"/>
      <c r="D914" s="2"/>
    </row>
    <row r="915" spans="1:4">
      <c r="A915" s="1"/>
      <c r="D915" s="2"/>
    </row>
    <row r="916" spans="1:4">
      <c r="A916" s="1"/>
      <c r="D916" s="2"/>
    </row>
    <row r="917" spans="1:4">
      <c r="A917" s="1"/>
      <c r="D917" s="2"/>
    </row>
    <row r="918" spans="1:4">
      <c r="A918" s="1"/>
      <c r="D918" s="2"/>
    </row>
    <row r="919" spans="1:4">
      <c r="A919" s="1"/>
      <c r="D919" s="2"/>
    </row>
    <row r="920" spans="1:4">
      <c r="A920" s="1"/>
      <c r="D920" s="2"/>
    </row>
    <row r="921" spans="1:4">
      <c r="A921" s="1"/>
      <c r="D921" s="2"/>
    </row>
    <row r="922" spans="1:4">
      <c r="A922" s="1"/>
      <c r="D922" s="2"/>
    </row>
    <row r="923" spans="1:4">
      <c r="A923" s="1"/>
      <c r="D923" s="2"/>
    </row>
    <row r="924" spans="1:4">
      <c r="A924" s="1"/>
      <c r="D924" s="2"/>
    </row>
    <row r="925" spans="1:4">
      <c r="A925" s="1"/>
      <c r="D925" s="2"/>
    </row>
    <row r="926" spans="1:4">
      <c r="A926" s="1"/>
      <c r="D926" s="2"/>
    </row>
    <row r="927" spans="1:4">
      <c r="A927" s="1"/>
      <c r="D927" s="2"/>
    </row>
    <row r="928" spans="1:4">
      <c r="A928" s="1"/>
      <c r="D928" s="2"/>
    </row>
    <row r="929" spans="1:4">
      <c r="A929" s="1"/>
      <c r="D929" s="2"/>
    </row>
    <row r="930" spans="1:4">
      <c r="A930" s="1"/>
      <c r="D930" s="2"/>
    </row>
    <row r="931" spans="1:4">
      <c r="A931" s="1"/>
      <c r="D931" s="2"/>
    </row>
    <row r="932" spans="1:4">
      <c r="A932" s="1"/>
      <c r="D932" s="2"/>
    </row>
    <row r="933" spans="1:4">
      <c r="A933" s="1"/>
      <c r="D933" s="2"/>
    </row>
    <row r="934" spans="1:4">
      <c r="A934" s="1"/>
      <c r="D934" s="2"/>
    </row>
    <row r="935" spans="1:4">
      <c r="A935" s="1"/>
      <c r="D935" s="2"/>
    </row>
    <row r="936" spans="1:4">
      <c r="A936" s="1"/>
      <c r="D936" s="2"/>
    </row>
    <row r="937" spans="1:4">
      <c r="A937" s="1"/>
      <c r="D937" s="2"/>
    </row>
    <row r="938" spans="1:4">
      <c r="A938" s="1"/>
      <c r="D938" s="2"/>
    </row>
    <row r="939" spans="1:4">
      <c r="A939" s="1"/>
      <c r="D939" s="2"/>
    </row>
    <row r="940" spans="1:4">
      <c r="A940" s="1"/>
      <c r="D940" s="2"/>
    </row>
    <row r="941" spans="1:4">
      <c r="A941" s="1"/>
      <c r="D941" s="2"/>
    </row>
    <row r="942" spans="1:4">
      <c r="A942" s="1"/>
      <c r="D942" s="2"/>
    </row>
    <row r="943" spans="1:4">
      <c r="A943" s="1"/>
      <c r="D943" s="2"/>
    </row>
    <row r="944" spans="1:4">
      <c r="A944" s="1"/>
      <c r="D944" s="2"/>
    </row>
    <row r="945" spans="1:4">
      <c r="A945" s="1"/>
      <c r="D945" s="2"/>
    </row>
    <row r="946" spans="1:4">
      <c r="A946" s="1"/>
      <c r="D946" s="2"/>
    </row>
    <row r="947" spans="1:4">
      <c r="A947" s="1"/>
      <c r="D947" s="2"/>
    </row>
    <row r="948" spans="1:4">
      <c r="A948" s="1"/>
      <c r="D948" s="2"/>
    </row>
    <row r="949" spans="1:4">
      <c r="A949" s="1"/>
      <c r="D949" s="2"/>
    </row>
    <row r="950" spans="1:4">
      <c r="A950" s="1"/>
      <c r="D950" s="2"/>
    </row>
    <row r="951" spans="1:4">
      <c r="A951" s="1"/>
      <c r="D951" s="2"/>
    </row>
    <row r="952" spans="1:4">
      <c r="A952" s="1"/>
      <c r="D952" s="2"/>
    </row>
    <row r="953" spans="1:4">
      <c r="A953" s="1"/>
      <c r="D953" s="2"/>
    </row>
    <row r="954" spans="1:4">
      <c r="A954" s="1"/>
      <c r="D954" s="2"/>
    </row>
    <row r="955" spans="1:4">
      <c r="A955" s="1"/>
      <c r="D955" s="2"/>
    </row>
    <row r="956" spans="1:4">
      <c r="A956" s="1"/>
      <c r="D956" s="2"/>
    </row>
    <row r="957" spans="1:4">
      <c r="A957" s="1"/>
      <c r="D957" s="2"/>
    </row>
    <row r="958" spans="1:4">
      <c r="A958" s="1"/>
      <c r="D958" s="2"/>
    </row>
    <row r="959" spans="1:4">
      <c r="A959" s="1"/>
      <c r="D959" s="2"/>
    </row>
    <row r="960" spans="1:4">
      <c r="A960" s="1"/>
      <c r="D960" s="2"/>
    </row>
    <row r="961" spans="1:4">
      <c r="A961" s="1"/>
      <c r="D961" s="2"/>
    </row>
    <row r="962" spans="1:4">
      <c r="A962" s="1"/>
      <c r="D962" s="2"/>
    </row>
    <row r="963" spans="1:4">
      <c r="A963" s="1"/>
      <c r="D963" s="2"/>
    </row>
    <row r="964" spans="1:4">
      <c r="A964" s="1"/>
      <c r="D964" s="2"/>
    </row>
    <row r="965" spans="1:4">
      <c r="A965" s="1"/>
      <c r="D965" s="2"/>
    </row>
    <row r="966" spans="1:4">
      <c r="A966" s="1"/>
      <c r="D966" s="2"/>
    </row>
  </sheetData>
  <autoFilter ref="B1:B966" xr:uid="{0C5E3F83-915D-454B-B8A1-295B35686F68}"/>
  <sortState xmlns:xlrd2="http://schemas.microsoft.com/office/spreadsheetml/2017/richdata2" ref="A2:G966">
    <sortCondition ref="A1:A96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Potència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Seoane</dc:creator>
  <cp:lastModifiedBy>Ona Sanz</cp:lastModifiedBy>
  <dcterms:created xsi:type="dcterms:W3CDTF">2025-02-07T10:07:17Z</dcterms:created>
  <dcterms:modified xsi:type="dcterms:W3CDTF">2026-04-12T19:52:48Z</dcterms:modified>
</cp:coreProperties>
</file>